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Ex2.xml" ContentType="application/vnd.ms-office.chartex+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hidePivotFieldList="1" defaultThemeVersion="202300"/>
  <mc:AlternateContent xmlns:mc="http://schemas.openxmlformats.org/markup-compatibility/2006">
    <mc:Choice Requires="x15">
      <x15ac:absPath xmlns:x15ac="http://schemas.microsoft.com/office/spreadsheetml/2010/11/ac" url="https://d.docs.live.net/cb39d61475c39c4c/Desktop/Programs/EXCEL/Project/E-Commerce_Chandu/"/>
    </mc:Choice>
  </mc:AlternateContent>
  <xr:revisionPtr revIDLastSave="977" documentId="8_{154FF5E1-7FB9-4B94-94F6-D0524C247D76}" xr6:coauthVersionLast="47" xr6:coauthVersionMax="47" xr10:uidLastSave="{542E0B97-B726-4474-9086-15CAE5FA7FC8}"/>
  <workbookProtection lockStructure="1"/>
  <bookViews>
    <workbookView xWindow="-23148" yWindow="-108" windowWidth="23256" windowHeight="13896" activeTab="1" xr2:uid="{43B4AD08-7E38-4AC8-A463-E098E223E307}"/>
  </bookViews>
  <sheets>
    <sheet name="Pivot" sheetId="1" r:id="rId1"/>
    <sheet name="Dashboard" sheetId="2" r:id="rId2"/>
  </sheets>
  <definedNames>
    <definedName name="_xlchart.v5.0" hidden="1">Pivot!$Q$24:$R$24</definedName>
    <definedName name="_xlchart.v5.1" hidden="1">Pivot!$Q$25:$R$82</definedName>
    <definedName name="_xlchart.v5.2" hidden="1">Pivot!$S$24</definedName>
    <definedName name="_xlchart.v5.3" hidden="1">Pivot!$S$25:$S$82</definedName>
    <definedName name="_xlchart.v5.4" hidden="1">Pivot!$U$24:$V$24</definedName>
    <definedName name="_xlchart.v5.5" hidden="1">Pivot!$U$25:$V$82</definedName>
    <definedName name="_xlchart.v5.6" hidden="1">Pivot!$W$24</definedName>
    <definedName name="_xlchart.v5.7" hidden="1">Pivot!$W$25:$W$82</definedName>
    <definedName name="Slicer_Gender">#N/A</definedName>
    <definedName name="Slicer_Order_Mode">#N/A</definedName>
  </definedNames>
  <calcPr calcId="191029"/>
  <pivotCaches>
    <pivotCache cacheId="0"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S26" i="1" l="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25" i="1"/>
  <c r="R24" i="1"/>
  <c r="S24" i="1"/>
  <c r="Q24"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25"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F16" i="1"/>
  <c r="G16" i="1"/>
  <c r="H16" i="1"/>
  <c r="I16" i="1"/>
  <c r="E17" i="1"/>
  <c r="F17" i="1"/>
  <c r="G17" i="1"/>
  <c r="H17" i="1"/>
  <c r="I17" i="1"/>
  <c r="E18" i="1"/>
  <c r="F18" i="1"/>
  <c r="G18" i="1"/>
  <c r="H18" i="1"/>
  <c r="I18" i="1"/>
  <c r="E19" i="1"/>
  <c r="F19" i="1"/>
  <c r="G19" i="1"/>
  <c r="H19" i="1"/>
  <c r="I19" i="1"/>
  <c r="E20" i="1"/>
  <c r="F20" i="1"/>
  <c r="G20" i="1"/>
  <c r="H20" i="1"/>
  <c r="I20" i="1"/>
  <c r="E21" i="1"/>
  <c r="F21" i="1"/>
  <c r="G21" i="1"/>
  <c r="H21" i="1"/>
  <c r="I21" i="1"/>
  <c r="W24" i="1"/>
  <c r="V24" i="1"/>
  <c r="U24" i="1"/>
  <c r="I3" i="1"/>
  <c r="J3" i="1"/>
  <c r="K3" i="1"/>
  <c r="H3" i="1"/>
  <c r="G3"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DF42769-F81A-46D4-B158-701888544C5C}" keepAlive="1" name="Query - Data" description="Connection to the 'Data' query in the workbook." type="5" refreshedVersion="8" background="1">
    <dbPr connection="Provider=Microsoft.Mashup.OleDb.1;Data Source=$Workbook$;Location=Data;Extended Properties=&quot;&quot;" command="SELECT * FROM [Data]"/>
  </connection>
</connections>
</file>

<file path=xl/sharedStrings.xml><?xml version="1.0" encoding="utf-8"?>
<sst xmlns="http://schemas.openxmlformats.org/spreadsheetml/2006/main" count="209" uniqueCount="119">
  <si>
    <t>Row Labels</t>
  </si>
  <si>
    <t>Grand Total</t>
  </si>
  <si>
    <t>Column Labels</t>
  </si>
  <si>
    <t>Total Orders</t>
  </si>
  <si>
    <t>Sum of Quantity</t>
  </si>
  <si>
    <t>Total Quantity</t>
  </si>
  <si>
    <t>Sum of Amount</t>
  </si>
  <si>
    <t>Total Amount</t>
  </si>
  <si>
    <t>Average Rating</t>
  </si>
  <si>
    <t>Average Days_to_Deliver</t>
  </si>
  <si>
    <t>Values in KPI</t>
  </si>
  <si>
    <t>Orders</t>
  </si>
  <si>
    <t>Quantity</t>
  </si>
  <si>
    <t>Amount</t>
  </si>
  <si>
    <t>Avg. Days</t>
  </si>
  <si>
    <t>Avg. Rating</t>
  </si>
  <si>
    <t>Trends in the last 13 weeks</t>
  </si>
  <si>
    <t>State</t>
  </si>
  <si>
    <t>County</t>
  </si>
  <si>
    <t>Shorts</t>
  </si>
  <si>
    <t>Unknown</t>
  </si>
  <si>
    <t>App</t>
  </si>
  <si>
    <t>California</t>
  </si>
  <si>
    <t>Alpine County</t>
  </si>
  <si>
    <t>Tank Tops</t>
  </si>
  <si>
    <t>Male</t>
  </si>
  <si>
    <t>Contra Costa County</t>
  </si>
  <si>
    <t>Sneakers</t>
  </si>
  <si>
    <t>Female</t>
  </si>
  <si>
    <t>Fresno County</t>
  </si>
  <si>
    <t>Workout Tops</t>
  </si>
  <si>
    <t>Graphic Tees</t>
  </si>
  <si>
    <t>Los Angeles County</t>
  </si>
  <si>
    <t>Website</t>
  </si>
  <si>
    <t>Sandals</t>
  </si>
  <si>
    <t>Jeans</t>
  </si>
  <si>
    <t>Target.com</t>
  </si>
  <si>
    <t>Hoodies &amp; Sweatshirts</t>
  </si>
  <si>
    <t>T-Shirts</t>
  </si>
  <si>
    <t>Sundresses</t>
  </si>
  <si>
    <t>Nevada County</t>
  </si>
  <si>
    <t>Instagram</t>
  </si>
  <si>
    <t>Placer County</t>
  </si>
  <si>
    <t>Bikinis</t>
  </si>
  <si>
    <t>Sacramento County</t>
  </si>
  <si>
    <t>San Bernardino County</t>
  </si>
  <si>
    <t>San Diego County</t>
  </si>
  <si>
    <t>Maxi Dresses</t>
  </si>
  <si>
    <t>Casual Dresses</t>
  </si>
  <si>
    <t>Partner App</t>
  </si>
  <si>
    <t>San Mateo County</t>
  </si>
  <si>
    <t>Santa Barbara County</t>
  </si>
  <si>
    <t>Tote Bags</t>
  </si>
  <si>
    <t>Santa Clara County</t>
  </si>
  <si>
    <t>Tehama County</t>
  </si>
  <si>
    <t>Baseball Caps</t>
  </si>
  <si>
    <t>Ventura County</t>
  </si>
  <si>
    <t>Calaveras County</t>
  </si>
  <si>
    <t>Inyo County</t>
  </si>
  <si>
    <t>Other</t>
  </si>
  <si>
    <t>Napa County</t>
  </si>
  <si>
    <t>San Francisco</t>
  </si>
  <si>
    <t>Sonoma County</t>
  </si>
  <si>
    <t>Stanislaus County</t>
  </si>
  <si>
    <t>Tulare County</t>
  </si>
  <si>
    <t>Alameda County</t>
  </si>
  <si>
    <t>Crop Tops</t>
  </si>
  <si>
    <t>Sunglasses</t>
  </si>
  <si>
    <t>Pajama Sets</t>
  </si>
  <si>
    <t>Leggings</t>
  </si>
  <si>
    <t>Kern County</t>
  </si>
  <si>
    <t>Riverside County</t>
  </si>
  <si>
    <t>Jewelry</t>
  </si>
  <si>
    <t>Merced County</t>
  </si>
  <si>
    <t>Orange County</t>
  </si>
  <si>
    <t>San Joaquin County</t>
  </si>
  <si>
    <t>Glenn County</t>
  </si>
  <si>
    <t>Yolo County</t>
  </si>
  <si>
    <t>Mendocino County</t>
  </si>
  <si>
    <t>Siskiyou County</t>
  </si>
  <si>
    <t>Sutter County</t>
  </si>
  <si>
    <t>Santa Cruz County</t>
  </si>
  <si>
    <t>Imperial County</t>
  </si>
  <si>
    <t>Kings County</t>
  </si>
  <si>
    <t>Plumas County</t>
  </si>
  <si>
    <t>San Benito County</t>
  </si>
  <si>
    <t>Madera County</t>
  </si>
  <si>
    <t>Solano County</t>
  </si>
  <si>
    <t>Modoc County</t>
  </si>
  <si>
    <t>Mariposa County</t>
  </si>
  <si>
    <t>San Luis Obispo County</t>
  </si>
  <si>
    <t>El Dorado County</t>
  </si>
  <si>
    <t>Marin County</t>
  </si>
  <si>
    <t>Humboldt County</t>
  </si>
  <si>
    <t>Trinity County</t>
  </si>
  <si>
    <t>Amador County</t>
  </si>
  <si>
    <t>Mono County</t>
  </si>
  <si>
    <t>Sierra County</t>
  </si>
  <si>
    <t>Monterey County</t>
  </si>
  <si>
    <t>Lake County</t>
  </si>
  <si>
    <t>Butte County</t>
  </si>
  <si>
    <t>Tuolumne County</t>
  </si>
  <si>
    <t>Shasta County</t>
  </si>
  <si>
    <t>Colusa County</t>
  </si>
  <si>
    <t>Lassen County</t>
  </si>
  <si>
    <t>Yuba County</t>
  </si>
  <si>
    <t>Del Norte County</t>
  </si>
  <si>
    <t>How do customers like to buy?</t>
  </si>
  <si>
    <t>How many items do they buy?</t>
  </si>
  <si>
    <t>6 to 10</t>
  </si>
  <si>
    <t>More than 10</t>
  </si>
  <si>
    <t>Most Popular Products</t>
  </si>
  <si>
    <t xml:space="preserve">Overall Gender </t>
  </si>
  <si>
    <t>Where do the customers live?</t>
  </si>
  <si>
    <t>How long will take to ship the item</t>
  </si>
  <si>
    <t>How happy are the customers?</t>
  </si>
  <si>
    <t>Jan</t>
  </si>
  <si>
    <t>Feb</t>
  </si>
  <si>
    <t>Mar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</si>
</sst>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5" formatCode="&quot;$&quot;#,##0_);\(&quot;$&quot;#,##0\)"/>
    <numFmt numFmtId="164" formatCode="&quot;$&quot;#,##0.00"/>
    <numFmt numFmtId="165" formatCode="&quot;$&quot;#,##0.00,&quot;K&quot;"/>
  </numFmts>
  <fonts count="2" x14ac:knownFonts="1">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0" tint="-0.249977111117893"/>
        <bgColor indexed="64"/>
      </patternFill>
    </fill>
  </fills>
  <borders count="9">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20">
    <xf numFmtId="0" fontId="0" fillId="0" borderId="0" xfId="0"/>
    <xf numFmtId="0" fontId="0" fillId="0" borderId="0" xfId="0" pivotButton="1"/>
    <xf numFmtId="0" fontId="0" fillId="0" borderId="0" xfId="0" applyAlignment="1">
      <alignment horizontal="left"/>
    </xf>
    <xf numFmtId="4" fontId="0" fillId="0" borderId="0" xfId="0" applyNumberFormat="1"/>
    <xf numFmtId="3" fontId="0" fillId="0" borderId="0" xfId="0" applyNumberFormat="1"/>
    <xf numFmtId="164" fontId="0" fillId="0" borderId="0" xfId="0" applyNumberFormat="1"/>
    <xf numFmtId="2" fontId="0" fillId="0" borderId="0" xfId="0" applyNumberFormat="1"/>
    <xf numFmtId="5" fontId="0" fillId="0" borderId="0" xfId="0" applyNumberFormat="1"/>
    <xf numFmtId="165" fontId="0" fillId="0" borderId="0" xfId="0" applyNumberFormat="1"/>
    <xf numFmtId="0" fontId="1" fillId="0" borderId="0" xfId="0" applyFont="1"/>
    <xf numFmtId="10" fontId="0" fillId="0" borderId="0" xfId="0" applyNumberFormat="1"/>
    <xf numFmtId="0" fontId="0" fillId="0" borderId="1" xfId="0" applyBorder="1"/>
    <xf numFmtId="10" fontId="0" fillId="0" borderId="5" xfId="0" applyNumberFormat="1" applyBorder="1"/>
    <xf numFmtId="10" fontId="0" fillId="0" borderId="7" xfId="0" applyNumberFormat="1" applyBorder="1"/>
    <xf numFmtId="10" fontId="0" fillId="0" borderId="8" xfId="0" applyNumberFormat="1" applyBorder="1"/>
    <xf numFmtId="0" fontId="1" fillId="2" borderId="4" xfId="0" applyFont="1" applyFill="1" applyBorder="1"/>
    <xf numFmtId="0" fontId="1" fillId="2" borderId="6" xfId="0" applyFont="1" applyFill="1" applyBorder="1"/>
    <xf numFmtId="0" fontId="1" fillId="2" borderId="2" xfId="0" applyFont="1" applyFill="1" applyBorder="1"/>
    <xf numFmtId="0" fontId="1" fillId="2" borderId="3" xfId="0" applyFont="1" applyFill="1" applyBorder="1"/>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connections" Target="connections.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alcChain" Target="calcChain.xml"/><Relationship Id="rId5" Type="http://schemas.microsoft.com/office/2007/relationships/slicerCache" Target="slicerCaches/slicerCache2.xml"/><Relationship Id="rId10" Type="http://schemas.microsoft.com/office/2017/10/relationships/person" Target="persons/person.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[Excel_E-Commerce project.xlsx]Pivot!Pivot_Trend</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Trends in the last 13 weeks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Pivot!$B$7</c:f>
              <c:strCache>
                <c:ptCount val="1"/>
                <c:pt idx="0">
                  <c:v>Total Quantity</c:v>
                </c:pt>
              </c:strCache>
            </c:strRef>
          </c:tx>
          <c:spPr>
            <a:solidFill>
              <a:schemeClr val="accent1"/>
            </a:solidFill>
            <a:ln>
              <a:noFill/>
            </a:ln>
            <a:effectLst/>
          </c:spPr>
          <c:invertIfNegative val="0"/>
          <c:cat>
            <c:strRef>
              <c:f>Pivot!$A$8:$A$21</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Pivot!$B$8:$B$21</c:f>
              <c:numCache>
                <c:formatCode>#,##0</c:formatCode>
                <c:ptCount val="13"/>
                <c:pt idx="0">
                  <c:v>546</c:v>
                </c:pt>
                <c:pt idx="1">
                  <c:v>905</c:v>
                </c:pt>
                <c:pt idx="2">
                  <c:v>796</c:v>
                </c:pt>
                <c:pt idx="3">
                  <c:v>913</c:v>
                </c:pt>
                <c:pt idx="4">
                  <c:v>844</c:v>
                </c:pt>
                <c:pt idx="5">
                  <c:v>1202</c:v>
                </c:pt>
                <c:pt idx="6">
                  <c:v>935</c:v>
                </c:pt>
                <c:pt idx="7">
                  <c:v>1128</c:v>
                </c:pt>
                <c:pt idx="8">
                  <c:v>1007</c:v>
                </c:pt>
                <c:pt idx="9">
                  <c:v>1128</c:v>
                </c:pt>
                <c:pt idx="10">
                  <c:v>861</c:v>
                </c:pt>
                <c:pt idx="11">
                  <c:v>944</c:v>
                </c:pt>
                <c:pt idx="12">
                  <c:v>788</c:v>
                </c:pt>
              </c:numCache>
            </c:numRef>
          </c:val>
          <c:extLst>
            <c:ext xmlns:c16="http://schemas.microsoft.com/office/drawing/2014/chart" uri="{C3380CC4-5D6E-409C-BE32-E72D297353CC}">
              <c16:uniqueId val="{00000000-0D67-4F01-A01B-736CDC651140}"/>
            </c:ext>
          </c:extLst>
        </c:ser>
        <c:dLbls>
          <c:showLegendKey val="0"/>
          <c:showVal val="0"/>
          <c:showCatName val="0"/>
          <c:showSerName val="0"/>
          <c:showPercent val="0"/>
          <c:showBubbleSize val="0"/>
        </c:dLbls>
        <c:gapWidth val="150"/>
        <c:axId val="831817887"/>
        <c:axId val="831819327"/>
      </c:barChart>
      <c:lineChart>
        <c:grouping val="standard"/>
        <c:varyColors val="0"/>
        <c:ser>
          <c:idx val="1"/>
          <c:order val="1"/>
          <c:tx>
            <c:strRef>
              <c:f>Pivot!$C$7</c:f>
              <c:strCache>
                <c:ptCount val="1"/>
                <c:pt idx="0">
                  <c:v>Total Amount</c:v>
                </c:pt>
              </c:strCache>
            </c:strRef>
          </c:tx>
          <c:spPr>
            <a:ln w="28575" cap="rnd">
              <a:solidFill>
                <a:schemeClr val="accent2"/>
              </a:solidFill>
              <a:round/>
            </a:ln>
            <a:effectLst/>
          </c:spPr>
          <c:marker>
            <c:symbol val="none"/>
          </c:marker>
          <c:cat>
            <c:strRef>
              <c:f>Pivot!$A$8:$A$21</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Pivot!$C$8:$C$21</c:f>
              <c:numCache>
                <c:formatCode>"$"#,##0.00</c:formatCode>
                <c:ptCount val="13"/>
                <c:pt idx="0">
                  <c:v>32413.300000000003</c:v>
                </c:pt>
                <c:pt idx="1">
                  <c:v>49562.999999999993</c:v>
                </c:pt>
                <c:pt idx="2">
                  <c:v>41700.400000000016</c:v>
                </c:pt>
                <c:pt idx="3">
                  <c:v>46782.599999999984</c:v>
                </c:pt>
                <c:pt idx="4">
                  <c:v>42676.100000000006</c:v>
                </c:pt>
                <c:pt idx="5">
                  <c:v>62910.7</c:v>
                </c:pt>
                <c:pt idx="6">
                  <c:v>50332.200000000004</c:v>
                </c:pt>
                <c:pt idx="7">
                  <c:v>58760.599999999977</c:v>
                </c:pt>
                <c:pt idx="8">
                  <c:v>52017.299999999996</c:v>
                </c:pt>
                <c:pt idx="9">
                  <c:v>64915.700000000033</c:v>
                </c:pt>
                <c:pt idx="10">
                  <c:v>45943.80000000001</c:v>
                </c:pt>
                <c:pt idx="11">
                  <c:v>55077.900000000031</c:v>
                </c:pt>
                <c:pt idx="12">
                  <c:v>45926.19999999999</c:v>
                </c:pt>
              </c:numCache>
            </c:numRef>
          </c:val>
          <c:smooth val="0"/>
          <c:extLst>
            <c:ext xmlns:c16="http://schemas.microsoft.com/office/drawing/2014/chart" uri="{C3380CC4-5D6E-409C-BE32-E72D297353CC}">
              <c16:uniqueId val="{00000001-0D67-4F01-A01B-736CDC651140}"/>
            </c:ext>
          </c:extLst>
        </c:ser>
        <c:dLbls>
          <c:showLegendKey val="0"/>
          <c:showVal val="0"/>
          <c:showCatName val="0"/>
          <c:showSerName val="0"/>
          <c:showPercent val="0"/>
          <c:showBubbleSize val="0"/>
        </c:dLbls>
        <c:marker val="1"/>
        <c:smooth val="0"/>
        <c:axId val="716749408"/>
        <c:axId val="716743648"/>
      </c:lineChart>
      <c:catAx>
        <c:axId val="8318178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Week of the</a:t>
                </a:r>
                <a:r>
                  <a:rPr lang="en-US" baseline="0"/>
                  <a:t> Year</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1819327"/>
        <c:crosses val="autoZero"/>
        <c:auto val="1"/>
        <c:lblAlgn val="ctr"/>
        <c:lblOffset val="100"/>
        <c:noMultiLvlLbl val="0"/>
      </c:catAx>
      <c:valAx>
        <c:axId val="83181932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Quantity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1817887"/>
        <c:crosses val="autoZero"/>
        <c:crossBetween val="between"/>
      </c:valAx>
      <c:valAx>
        <c:axId val="716743648"/>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 Amount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quot;K&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6749408"/>
        <c:crosses val="max"/>
        <c:crossBetween val="between"/>
      </c:valAx>
      <c:catAx>
        <c:axId val="716749408"/>
        <c:scaling>
          <c:orientation val="minMax"/>
        </c:scaling>
        <c:delete val="1"/>
        <c:axPos val="b"/>
        <c:numFmt formatCode="General" sourceLinked="1"/>
        <c:majorTickMark val="out"/>
        <c:minorTickMark val="none"/>
        <c:tickLblPos val="nextTo"/>
        <c:crossAx val="716743648"/>
        <c:crosses val="autoZero"/>
        <c:auto val="1"/>
        <c:lblAlgn val="ctr"/>
        <c:lblOffset val="100"/>
        <c:noMultiLvlLbl val="0"/>
      </c:catAx>
      <c:spPr>
        <a:noFill/>
        <a:ln>
          <a:noFill/>
        </a:ln>
        <a:effectLst/>
      </c:spPr>
    </c:plotArea>
    <c:legend>
      <c:legendPos val="t"/>
      <c:layout>
        <c:manualLayout>
          <c:xMode val="edge"/>
          <c:yMode val="edge"/>
          <c:x val="0.2463989982101529"/>
          <c:y val="0.14856481481481484"/>
          <c:w val="0.60454897730414736"/>
          <c:h val="8.458705819667279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[Excel_E-Commerce project.xlsx]Pivot!Pivot_QuantityTotal</c:name>
    <c:fmtId val="6"/>
  </c:pivotSource>
  <c:chart>
    <c:title>
      <c:tx>
        <c:rich>
          <a:bodyPr rot="0" spcFirstLastPara="1" vertOverflow="ellipsis" vert="horz" wrap="square" anchor="ctr" anchorCtr="1"/>
          <a:lstStyle/>
          <a:p>
            <a:pPr algn="ctr">
              <a:defRPr sz="1400" b="1" i="0" u="none" strike="noStrike" kern="1200" spc="0" baseline="0">
                <a:solidFill>
                  <a:schemeClr val="tx1">
                    <a:lumMod val="65000"/>
                    <a:lumOff val="35000"/>
                  </a:schemeClr>
                </a:solidFill>
                <a:latin typeface="+mn-lt"/>
                <a:ea typeface="+mn-ea"/>
                <a:cs typeface="+mn-cs"/>
              </a:defRPr>
            </a:pPr>
            <a:r>
              <a:rPr lang="en-US" b="1"/>
              <a:t>How many items do they</a:t>
            </a:r>
            <a:r>
              <a:rPr lang="en-US" b="1" baseline="0"/>
              <a:t> buy?</a:t>
            </a:r>
            <a:endParaRPr lang="en-US" b="1"/>
          </a:p>
        </c:rich>
      </c:tx>
      <c:layout>
        <c:manualLayout>
          <c:xMode val="edge"/>
          <c:yMode val="edge"/>
          <c:x val="0.1674647410646703"/>
          <c:y val="2.7777934688666836E-2"/>
        </c:manualLayout>
      </c:layout>
      <c:overlay val="0"/>
      <c:spPr>
        <a:noFill/>
        <a:ln>
          <a:noFill/>
        </a:ln>
        <a:effectLst/>
      </c:spPr>
      <c:txPr>
        <a:bodyPr rot="0" spcFirstLastPara="1" vertOverflow="ellipsis" vert="horz" wrap="square" anchor="ctr" anchorCtr="1"/>
        <a:lstStyle/>
        <a:p>
          <a:pPr algn="ct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Pivot!$M$7</c:f>
              <c:strCache>
                <c:ptCount val="1"/>
                <c:pt idx="0">
                  <c:v>Total</c:v>
                </c:pt>
              </c:strCache>
            </c:strRef>
          </c:tx>
          <c:spPr>
            <a:solidFill>
              <a:schemeClr val="accent1"/>
            </a:solidFill>
            <a:ln>
              <a:noFill/>
            </a:ln>
            <a:effectLst/>
          </c:spPr>
          <c:invertIfNegative val="0"/>
          <c:cat>
            <c:strRef>
              <c:f>Pivot!$L$8:$L$15</c:f>
              <c:strCache>
                <c:ptCount val="7"/>
                <c:pt idx="0">
                  <c:v>1</c:v>
                </c:pt>
                <c:pt idx="1">
                  <c:v>2</c:v>
                </c:pt>
                <c:pt idx="2">
                  <c:v>3</c:v>
                </c:pt>
                <c:pt idx="3">
                  <c:v>4</c:v>
                </c:pt>
                <c:pt idx="4">
                  <c:v>5</c:v>
                </c:pt>
                <c:pt idx="5">
                  <c:v>6 to 10</c:v>
                </c:pt>
                <c:pt idx="6">
                  <c:v>More than 10</c:v>
                </c:pt>
              </c:strCache>
            </c:strRef>
          </c:cat>
          <c:val>
            <c:numRef>
              <c:f>Pivot!$M$8:$M$15</c:f>
              <c:numCache>
                <c:formatCode>#,##0</c:formatCode>
                <c:ptCount val="7"/>
                <c:pt idx="0">
                  <c:v>397</c:v>
                </c:pt>
                <c:pt idx="1">
                  <c:v>540</c:v>
                </c:pt>
                <c:pt idx="2">
                  <c:v>375</c:v>
                </c:pt>
                <c:pt idx="3">
                  <c:v>246</c:v>
                </c:pt>
                <c:pt idx="4">
                  <c:v>195</c:v>
                </c:pt>
                <c:pt idx="5">
                  <c:v>414</c:v>
                </c:pt>
                <c:pt idx="6">
                  <c:v>233</c:v>
                </c:pt>
              </c:numCache>
            </c:numRef>
          </c:val>
          <c:extLst>
            <c:ext xmlns:c16="http://schemas.microsoft.com/office/drawing/2014/chart" uri="{C3380CC4-5D6E-409C-BE32-E72D297353CC}">
              <c16:uniqueId val="{00000000-1B98-4A9D-AD77-41B253CA5663}"/>
            </c:ext>
          </c:extLst>
        </c:ser>
        <c:dLbls>
          <c:showLegendKey val="0"/>
          <c:showVal val="0"/>
          <c:showCatName val="0"/>
          <c:showSerName val="0"/>
          <c:showPercent val="0"/>
          <c:showBubbleSize val="0"/>
        </c:dLbls>
        <c:gapWidth val="5"/>
        <c:overlap val="-27"/>
        <c:axId val="716754688"/>
        <c:axId val="716756608"/>
      </c:barChart>
      <c:catAx>
        <c:axId val="7167546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Quantity</a:t>
                </a:r>
              </a:p>
            </c:rich>
          </c:tx>
          <c:layout>
            <c:manualLayout>
              <c:xMode val="edge"/>
              <c:yMode val="edge"/>
              <c:x val="0.44845400180663098"/>
              <c:y val="0.8879396325459317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6756608"/>
        <c:crosses val="autoZero"/>
        <c:auto val="1"/>
        <c:lblAlgn val="ctr"/>
        <c:lblOffset val="100"/>
        <c:noMultiLvlLbl val="0"/>
      </c:catAx>
      <c:valAx>
        <c:axId val="7167566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Orders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6754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[Excel_E-Commerce project.xlsx]Pivot!Pivot_Products</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Most</a:t>
            </a:r>
            <a:r>
              <a:rPr lang="en-US" b="1" baseline="0"/>
              <a:t> popular Products: </a:t>
            </a:r>
            <a:r>
              <a:rPr lang="en-US" b="0" baseline="0"/>
              <a:t>Based on Gender</a:t>
            </a:r>
            <a:endParaRPr lang="en-US" b="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922437326913083"/>
          <c:y val="0.16564596092155148"/>
          <c:w val="0.38149156793997241"/>
          <c:h val="0.75047317002041414"/>
        </c:manualLayout>
      </c:layout>
      <c:barChart>
        <c:barDir val="bar"/>
        <c:grouping val="stacked"/>
        <c:varyColors val="0"/>
        <c:ser>
          <c:idx val="0"/>
          <c:order val="0"/>
          <c:tx>
            <c:strRef>
              <c:f>Pivot!$B$24:$B$25</c:f>
              <c:strCache>
                <c:ptCount val="1"/>
                <c:pt idx="0">
                  <c:v>Female</c:v>
                </c:pt>
              </c:strCache>
            </c:strRef>
          </c:tx>
          <c:spPr>
            <a:solidFill>
              <a:schemeClr val="accent1"/>
            </a:solidFill>
            <a:ln>
              <a:noFill/>
            </a:ln>
            <a:effectLst/>
          </c:spPr>
          <c:invertIfNegative val="0"/>
          <c:cat>
            <c:strRef>
              <c:f>Pivot!$A$26:$A$46</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Pivot!$B$26:$B$46</c:f>
              <c:numCache>
                <c:formatCode>General</c:formatCode>
                <c:ptCount val="20"/>
                <c:pt idx="0">
                  <c:v>744</c:v>
                </c:pt>
                <c:pt idx="1">
                  <c:v>716</c:v>
                </c:pt>
                <c:pt idx="2">
                  <c:v>627</c:v>
                </c:pt>
                <c:pt idx="3">
                  <c:v>568</c:v>
                </c:pt>
                <c:pt idx="4">
                  <c:v>482</c:v>
                </c:pt>
                <c:pt idx="5">
                  <c:v>428</c:v>
                </c:pt>
                <c:pt idx="6">
                  <c:v>445</c:v>
                </c:pt>
                <c:pt idx="7">
                  <c:v>431</c:v>
                </c:pt>
                <c:pt idx="8">
                  <c:v>264</c:v>
                </c:pt>
                <c:pt idx="9">
                  <c:v>296</c:v>
                </c:pt>
                <c:pt idx="10">
                  <c:v>153</c:v>
                </c:pt>
                <c:pt idx="11">
                  <c:v>189</c:v>
                </c:pt>
                <c:pt idx="12">
                  <c:v>234</c:v>
                </c:pt>
                <c:pt idx="13">
                  <c:v>146</c:v>
                </c:pt>
                <c:pt idx="14">
                  <c:v>127</c:v>
                </c:pt>
                <c:pt idx="15">
                  <c:v>179</c:v>
                </c:pt>
                <c:pt idx="16">
                  <c:v>99</c:v>
                </c:pt>
                <c:pt idx="17">
                  <c:v>75</c:v>
                </c:pt>
                <c:pt idx="18">
                  <c:v>43</c:v>
                </c:pt>
                <c:pt idx="19">
                  <c:v>26</c:v>
                </c:pt>
              </c:numCache>
            </c:numRef>
          </c:val>
          <c:extLst>
            <c:ext xmlns:c16="http://schemas.microsoft.com/office/drawing/2014/chart" uri="{C3380CC4-5D6E-409C-BE32-E72D297353CC}">
              <c16:uniqueId val="{00000000-2174-40AC-83B8-DB4D2F8287B2}"/>
            </c:ext>
          </c:extLst>
        </c:ser>
        <c:ser>
          <c:idx val="1"/>
          <c:order val="1"/>
          <c:tx>
            <c:strRef>
              <c:f>Pivot!$C$24:$C$25</c:f>
              <c:strCache>
                <c:ptCount val="1"/>
                <c:pt idx="0">
                  <c:v>Male</c:v>
                </c:pt>
              </c:strCache>
            </c:strRef>
          </c:tx>
          <c:spPr>
            <a:solidFill>
              <a:schemeClr val="accent2"/>
            </a:solidFill>
            <a:ln>
              <a:noFill/>
            </a:ln>
            <a:effectLst/>
          </c:spPr>
          <c:invertIfNegative val="0"/>
          <c:cat>
            <c:strRef>
              <c:f>Pivot!$A$26:$A$46</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Pivot!$C$26:$C$46</c:f>
              <c:numCache>
                <c:formatCode>General</c:formatCode>
                <c:ptCount val="20"/>
                <c:pt idx="0">
                  <c:v>713</c:v>
                </c:pt>
                <c:pt idx="1">
                  <c:v>598</c:v>
                </c:pt>
                <c:pt idx="2">
                  <c:v>393</c:v>
                </c:pt>
                <c:pt idx="3">
                  <c:v>306</c:v>
                </c:pt>
                <c:pt idx="4">
                  <c:v>295</c:v>
                </c:pt>
                <c:pt idx="5">
                  <c:v>293</c:v>
                </c:pt>
                <c:pt idx="6">
                  <c:v>202</c:v>
                </c:pt>
                <c:pt idx="7">
                  <c:v>187</c:v>
                </c:pt>
                <c:pt idx="8">
                  <c:v>318</c:v>
                </c:pt>
                <c:pt idx="9">
                  <c:v>275</c:v>
                </c:pt>
                <c:pt idx="10">
                  <c:v>246</c:v>
                </c:pt>
                <c:pt idx="11">
                  <c:v>168</c:v>
                </c:pt>
                <c:pt idx="12">
                  <c:v>93</c:v>
                </c:pt>
                <c:pt idx="13">
                  <c:v>94</c:v>
                </c:pt>
                <c:pt idx="14">
                  <c:v>118</c:v>
                </c:pt>
                <c:pt idx="15">
                  <c:v>76</c:v>
                </c:pt>
                <c:pt idx="16">
                  <c:v>69</c:v>
                </c:pt>
                <c:pt idx="17">
                  <c:v>103</c:v>
                </c:pt>
                <c:pt idx="18">
                  <c:v>90</c:v>
                </c:pt>
                <c:pt idx="19">
                  <c:v>35</c:v>
                </c:pt>
              </c:numCache>
            </c:numRef>
          </c:val>
          <c:extLst>
            <c:ext xmlns:c16="http://schemas.microsoft.com/office/drawing/2014/chart" uri="{C3380CC4-5D6E-409C-BE32-E72D297353CC}">
              <c16:uniqueId val="{00000015-9ECE-47D4-985D-FF8ADEB53070}"/>
            </c:ext>
          </c:extLst>
        </c:ser>
        <c:ser>
          <c:idx val="2"/>
          <c:order val="2"/>
          <c:tx>
            <c:strRef>
              <c:f>Pivot!$D$24:$D$25</c:f>
              <c:strCache>
                <c:ptCount val="1"/>
                <c:pt idx="0">
                  <c:v>Other</c:v>
                </c:pt>
              </c:strCache>
            </c:strRef>
          </c:tx>
          <c:spPr>
            <a:solidFill>
              <a:schemeClr val="accent3"/>
            </a:solidFill>
            <a:ln>
              <a:noFill/>
            </a:ln>
            <a:effectLst/>
          </c:spPr>
          <c:invertIfNegative val="0"/>
          <c:cat>
            <c:strRef>
              <c:f>Pivot!$A$26:$A$46</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Pivot!$D$26:$D$46</c:f>
              <c:numCache>
                <c:formatCode>General</c:formatCode>
                <c:ptCount val="20"/>
                <c:pt idx="0">
                  <c:v>90</c:v>
                </c:pt>
                <c:pt idx="1">
                  <c:v>18</c:v>
                </c:pt>
                <c:pt idx="2">
                  <c:v>29</c:v>
                </c:pt>
                <c:pt idx="3">
                  <c:v>22</c:v>
                </c:pt>
                <c:pt idx="4">
                  <c:v>8</c:v>
                </c:pt>
                <c:pt idx="6">
                  <c:v>14</c:v>
                </c:pt>
                <c:pt idx="7">
                  <c:v>14</c:v>
                </c:pt>
                <c:pt idx="8">
                  <c:v>15</c:v>
                </c:pt>
                <c:pt idx="9">
                  <c:v>9</c:v>
                </c:pt>
                <c:pt idx="10">
                  <c:v>30</c:v>
                </c:pt>
                <c:pt idx="11">
                  <c:v>10</c:v>
                </c:pt>
                <c:pt idx="12">
                  <c:v>19</c:v>
                </c:pt>
                <c:pt idx="13">
                  <c:v>4</c:v>
                </c:pt>
                <c:pt idx="14">
                  <c:v>13</c:v>
                </c:pt>
                <c:pt idx="15">
                  <c:v>3</c:v>
                </c:pt>
                <c:pt idx="16">
                  <c:v>3</c:v>
                </c:pt>
                <c:pt idx="17">
                  <c:v>4</c:v>
                </c:pt>
                <c:pt idx="18">
                  <c:v>8</c:v>
                </c:pt>
                <c:pt idx="19">
                  <c:v>4</c:v>
                </c:pt>
              </c:numCache>
            </c:numRef>
          </c:val>
          <c:extLst>
            <c:ext xmlns:c16="http://schemas.microsoft.com/office/drawing/2014/chart" uri="{C3380CC4-5D6E-409C-BE32-E72D297353CC}">
              <c16:uniqueId val="{00000016-9ECE-47D4-985D-FF8ADEB53070}"/>
            </c:ext>
          </c:extLst>
        </c:ser>
        <c:ser>
          <c:idx val="3"/>
          <c:order val="3"/>
          <c:tx>
            <c:strRef>
              <c:f>Pivot!$E$24:$E$25</c:f>
              <c:strCache>
                <c:ptCount val="1"/>
                <c:pt idx="0">
                  <c:v>Unknown</c:v>
                </c:pt>
              </c:strCache>
            </c:strRef>
          </c:tx>
          <c:spPr>
            <a:solidFill>
              <a:schemeClr val="accent4"/>
            </a:solidFill>
            <a:ln>
              <a:noFill/>
            </a:ln>
            <a:effectLst/>
          </c:spPr>
          <c:invertIfNegative val="0"/>
          <c:cat>
            <c:strRef>
              <c:f>Pivot!$A$26:$A$46</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Pivot!$E$26:$E$46</c:f>
              <c:numCache>
                <c:formatCode>General</c:formatCode>
                <c:ptCount val="20"/>
                <c:pt idx="0">
                  <c:v>98</c:v>
                </c:pt>
                <c:pt idx="1">
                  <c:v>214</c:v>
                </c:pt>
                <c:pt idx="2">
                  <c:v>137</c:v>
                </c:pt>
                <c:pt idx="3">
                  <c:v>16</c:v>
                </c:pt>
                <c:pt idx="4">
                  <c:v>22</c:v>
                </c:pt>
                <c:pt idx="5">
                  <c:v>24</c:v>
                </c:pt>
                <c:pt idx="6">
                  <c:v>39</c:v>
                </c:pt>
                <c:pt idx="7">
                  <c:v>15</c:v>
                </c:pt>
                <c:pt idx="8">
                  <c:v>9</c:v>
                </c:pt>
                <c:pt idx="9">
                  <c:v>23</c:v>
                </c:pt>
                <c:pt idx="10">
                  <c:v>8</c:v>
                </c:pt>
                <c:pt idx="11">
                  <c:v>31</c:v>
                </c:pt>
                <c:pt idx="12">
                  <c:v>24</c:v>
                </c:pt>
                <c:pt idx="13">
                  <c:v>28</c:v>
                </c:pt>
                <c:pt idx="14">
                  <c:v>12</c:v>
                </c:pt>
                <c:pt idx="16">
                  <c:v>24</c:v>
                </c:pt>
                <c:pt idx="17">
                  <c:v>6</c:v>
                </c:pt>
                <c:pt idx="18">
                  <c:v>6</c:v>
                </c:pt>
              </c:numCache>
            </c:numRef>
          </c:val>
          <c:extLst>
            <c:ext xmlns:c16="http://schemas.microsoft.com/office/drawing/2014/chart" uri="{C3380CC4-5D6E-409C-BE32-E72D297353CC}">
              <c16:uniqueId val="{00000017-9ECE-47D4-985D-FF8ADEB53070}"/>
            </c:ext>
          </c:extLst>
        </c:ser>
        <c:dLbls>
          <c:showLegendKey val="0"/>
          <c:showVal val="0"/>
          <c:showCatName val="0"/>
          <c:showSerName val="0"/>
          <c:showPercent val="0"/>
          <c:showBubbleSize val="0"/>
        </c:dLbls>
        <c:gapWidth val="7"/>
        <c:overlap val="100"/>
        <c:axId val="580990064"/>
        <c:axId val="580989104"/>
      </c:barChart>
      <c:catAx>
        <c:axId val="580990064"/>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0989104"/>
        <c:crosses val="autoZero"/>
        <c:auto val="1"/>
        <c:lblAlgn val="ctr"/>
        <c:lblOffset val="100"/>
        <c:noMultiLvlLbl val="0"/>
      </c:catAx>
      <c:valAx>
        <c:axId val="580989104"/>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09900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[Excel_E-Commerce project.xlsx]Pivot!Pivot_Gender</c:name>
    <c:fmtId val="1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manualLayout>
          <c:layoutTarget val="inner"/>
          <c:xMode val="edge"/>
          <c:yMode val="edge"/>
          <c:x val="0.18352933953431255"/>
          <c:y val="0.23032361067860868"/>
          <c:w val="0.66993344581927261"/>
          <c:h val="0.7661963828167716"/>
        </c:manualLayout>
      </c:layout>
      <c:doughnutChart>
        <c:varyColors val="1"/>
        <c:ser>
          <c:idx val="0"/>
          <c:order val="0"/>
          <c:tx>
            <c:strRef>
              <c:f>Pivot!$I$24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2F5-4F21-A600-92BFCCF4654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2F5-4F21-A600-92BFCCF4654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2F5-4F21-A600-92BFCCF4654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2F5-4F21-A600-92BFCCF4654C}"/>
              </c:ext>
            </c:extLst>
          </c:dPt>
          <c:cat>
            <c:strRef>
              <c:f>Pivot!$H$25:$H$29</c:f>
              <c:strCache>
                <c:ptCount val="4"/>
                <c:pt idx="0">
                  <c:v>Female</c:v>
                </c:pt>
                <c:pt idx="1">
                  <c:v>Male</c:v>
                </c:pt>
                <c:pt idx="2">
                  <c:v>Other</c:v>
                </c:pt>
                <c:pt idx="3">
                  <c:v>Unknown</c:v>
                </c:pt>
              </c:strCache>
            </c:strRef>
          </c:cat>
          <c:val>
            <c:numRef>
              <c:f>Pivot!$I$25:$I$29</c:f>
              <c:numCache>
                <c:formatCode>General</c:formatCode>
                <c:ptCount val="4"/>
                <c:pt idx="0">
                  <c:v>6272</c:v>
                </c:pt>
                <c:pt idx="1">
                  <c:v>4672</c:v>
                </c:pt>
                <c:pt idx="2">
                  <c:v>317</c:v>
                </c:pt>
                <c:pt idx="3">
                  <c:v>736</c:v>
                </c:pt>
              </c:numCache>
            </c:numRef>
          </c:val>
          <c:extLst>
            <c:ext xmlns:c16="http://schemas.microsoft.com/office/drawing/2014/chart" uri="{C3380CC4-5D6E-409C-BE32-E72D297353CC}">
              <c16:uniqueId val="{00000008-A2F5-4F21-A600-92BFCCF4654C}"/>
            </c:ext>
          </c:extLst>
        </c:ser>
        <c:dLbls>
          <c:showLegendKey val="0"/>
          <c:showVal val="0"/>
          <c:showCatName val="0"/>
          <c:showSerName val="0"/>
          <c:showPercent val="0"/>
          <c:showBubbleSize val="0"/>
          <c:showLeaderLines val="1"/>
        </c:dLbls>
        <c:firstSliceAng val="0"/>
        <c:holeSize val="37"/>
      </c:doughnutChart>
      <c:spPr>
        <a:noFill/>
        <a:ln>
          <a:noFill/>
        </a:ln>
        <a:effectLst/>
      </c:spPr>
    </c:plotArea>
    <c:legend>
      <c:legendPos val="t"/>
      <c:layout>
        <c:manualLayout>
          <c:xMode val="edge"/>
          <c:yMode val="edge"/>
          <c:x val="3.1464440438921042E-2"/>
          <c:y val="0"/>
          <c:w val="0.89999975674959087"/>
          <c:h val="0.125000801982617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[Excel_E-Commerce project.xlsx]Pivot!Pivot_DaystoShip</c:name>
    <c:fmtId val="7"/>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How long does it take for shipping?</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Pivot!$B$51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Pivot!$A$52:$A$67</c:f>
              <c:strCache>
                <c:ptCount val="1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strCache>
            </c:strRef>
          </c:cat>
          <c:val>
            <c:numRef>
              <c:f>Pivot!$B$52:$B$67</c:f>
              <c:numCache>
                <c:formatCode>#,##0</c:formatCode>
                <c:ptCount val="15"/>
                <c:pt idx="0">
                  <c:v>175</c:v>
                </c:pt>
                <c:pt idx="1">
                  <c:v>888</c:v>
                </c:pt>
                <c:pt idx="2">
                  <c:v>538</c:v>
                </c:pt>
                <c:pt idx="3">
                  <c:v>344</c:v>
                </c:pt>
                <c:pt idx="4">
                  <c:v>200</c:v>
                </c:pt>
                <c:pt idx="5">
                  <c:v>94</c:v>
                </c:pt>
                <c:pt idx="6">
                  <c:v>51</c:v>
                </c:pt>
                <c:pt idx="7">
                  <c:v>32</c:v>
                </c:pt>
                <c:pt idx="8">
                  <c:v>23</c:v>
                </c:pt>
                <c:pt idx="9">
                  <c:v>9</c:v>
                </c:pt>
                <c:pt idx="10">
                  <c:v>8</c:v>
                </c:pt>
                <c:pt idx="11">
                  <c:v>11</c:v>
                </c:pt>
                <c:pt idx="12">
                  <c:v>4</c:v>
                </c:pt>
                <c:pt idx="13">
                  <c:v>10</c:v>
                </c:pt>
                <c:pt idx="14">
                  <c:v>13</c:v>
                </c:pt>
              </c:numCache>
            </c:numRef>
          </c:val>
          <c:extLst>
            <c:ext xmlns:c16="http://schemas.microsoft.com/office/drawing/2014/chart" uri="{C3380CC4-5D6E-409C-BE32-E72D297353CC}">
              <c16:uniqueId val="{00000000-7F37-4F09-8034-613AD91A6305}"/>
            </c:ext>
          </c:extLst>
        </c:ser>
        <c:dLbls>
          <c:dLblPos val="outEnd"/>
          <c:showLegendKey val="0"/>
          <c:showVal val="1"/>
          <c:showCatName val="0"/>
          <c:showSerName val="0"/>
          <c:showPercent val="0"/>
          <c:showBubbleSize val="0"/>
        </c:dLbls>
        <c:gapWidth val="10"/>
        <c:overlap val="-27"/>
        <c:axId val="966280784"/>
        <c:axId val="966281264"/>
      </c:barChart>
      <c:catAx>
        <c:axId val="9662807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 of Days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6281264"/>
        <c:crosses val="autoZero"/>
        <c:auto val="1"/>
        <c:lblAlgn val="ctr"/>
        <c:lblOffset val="100"/>
        <c:noMultiLvlLbl val="0"/>
      </c:catAx>
      <c:valAx>
        <c:axId val="966281264"/>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9662807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[Excel_E-Commerce project.xlsx]Pivot!Pivot_Happy</c:name>
    <c:fmtId val="7"/>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How</a:t>
            </a:r>
            <a:r>
              <a:rPr lang="en-US" b="1" baseline="0"/>
              <a:t> happy are the customers?</a:t>
            </a:r>
            <a:endParaRPr lang="en-US" b="1"/>
          </a:p>
        </c:rich>
      </c:tx>
      <c:layout>
        <c:manualLayout>
          <c:xMode val="edge"/>
          <c:yMode val="edge"/>
          <c:x val="0.13531980568443616"/>
          <c:y val="1.870906471372184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Pivot!$E$51:$E$52</c:f>
              <c:strCache>
                <c:ptCount val="1"/>
                <c:pt idx="0">
                  <c:v>1</c:v>
                </c:pt>
              </c:strCache>
            </c:strRef>
          </c:tx>
          <c:spPr>
            <a:solidFill>
              <a:schemeClr val="accent1"/>
            </a:solidFill>
            <a:ln>
              <a:noFill/>
            </a:ln>
            <a:effectLst/>
          </c:spPr>
          <c:invertIfNegative val="0"/>
          <c:cat>
            <c:strRef>
              <c:f>Pivot!$D$53:$D$56</c:f>
              <c:strCache>
                <c:ptCount val="3"/>
                <c:pt idx="0">
                  <c:v>Jan</c:v>
                </c:pt>
                <c:pt idx="1">
                  <c:v>Feb</c:v>
                </c:pt>
                <c:pt idx="2">
                  <c:v>Mar</c:v>
                </c:pt>
              </c:strCache>
            </c:strRef>
          </c:cat>
          <c:val>
            <c:numRef>
              <c:f>Pivot!$E$53:$E$56</c:f>
              <c:numCache>
                <c:formatCode>#,##0</c:formatCode>
                <c:ptCount val="3"/>
                <c:pt idx="0">
                  <c:v>7</c:v>
                </c:pt>
                <c:pt idx="1">
                  <c:v>8</c:v>
                </c:pt>
                <c:pt idx="2">
                  <c:v>6</c:v>
                </c:pt>
              </c:numCache>
            </c:numRef>
          </c:val>
          <c:extLst>
            <c:ext xmlns:c16="http://schemas.microsoft.com/office/drawing/2014/chart" uri="{C3380CC4-5D6E-409C-BE32-E72D297353CC}">
              <c16:uniqueId val="{00000000-81D6-4E18-A391-13C5F474457A}"/>
            </c:ext>
          </c:extLst>
        </c:ser>
        <c:ser>
          <c:idx val="1"/>
          <c:order val="1"/>
          <c:tx>
            <c:strRef>
              <c:f>Pivot!$F$51:$F$52</c:f>
              <c:strCache>
                <c:ptCount val="1"/>
                <c:pt idx="0">
                  <c:v>2</c:v>
                </c:pt>
              </c:strCache>
            </c:strRef>
          </c:tx>
          <c:spPr>
            <a:solidFill>
              <a:schemeClr val="accent2"/>
            </a:solidFill>
            <a:ln>
              <a:noFill/>
            </a:ln>
            <a:effectLst/>
          </c:spPr>
          <c:invertIfNegative val="0"/>
          <c:cat>
            <c:strRef>
              <c:f>Pivot!$D$53:$D$56</c:f>
              <c:strCache>
                <c:ptCount val="3"/>
                <c:pt idx="0">
                  <c:v>Jan</c:v>
                </c:pt>
                <c:pt idx="1">
                  <c:v>Feb</c:v>
                </c:pt>
                <c:pt idx="2">
                  <c:v>Mar</c:v>
                </c:pt>
              </c:strCache>
            </c:strRef>
          </c:cat>
          <c:val>
            <c:numRef>
              <c:f>Pivot!$F$53:$F$56</c:f>
              <c:numCache>
                <c:formatCode>#,##0</c:formatCode>
                <c:ptCount val="3"/>
                <c:pt idx="0">
                  <c:v>37</c:v>
                </c:pt>
                <c:pt idx="1">
                  <c:v>51</c:v>
                </c:pt>
                <c:pt idx="2">
                  <c:v>39</c:v>
                </c:pt>
              </c:numCache>
            </c:numRef>
          </c:val>
          <c:extLst>
            <c:ext xmlns:c16="http://schemas.microsoft.com/office/drawing/2014/chart" uri="{C3380CC4-5D6E-409C-BE32-E72D297353CC}">
              <c16:uniqueId val="{00000001-81D6-4E18-A391-13C5F474457A}"/>
            </c:ext>
          </c:extLst>
        </c:ser>
        <c:ser>
          <c:idx val="2"/>
          <c:order val="2"/>
          <c:tx>
            <c:strRef>
              <c:f>Pivot!$G$51:$G$52</c:f>
              <c:strCache>
                <c:ptCount val="1"/>
                <c:pt idx="0">
                  <c:v>3</c:v>
                </c:pt>
              </c:strCache>
            </c:strRef>
          </c:tx>
          <c:spPr>
            <a:solidFill>
              <a:schemeClr val="accent3"/>
            </a:solidFill>
            <a:ln>
              <a:noFill/>
            </a:ln>
            <a:effectLst/>
          </c:spPr>
          <c:invertIfNegative val="0"/>
          <c:cat>
            <c:strRef>
              <c:f>Pivot!$D$53:$D$56</c:f>
              <c:strCache>
                <c:ptCount val="3"/>
                <c:pt idx="0">
                  <c:v>Jan</c:v>
                </c:pt>
                <c:pt idx="1">
                  <c:v>Feb</c:v>
                </c:pt>
                <c:pt idx="2">
                  <c:v>Mar</c:v>
                </c:pt>
              </c:strCache>
            </c:strRef>
          </c:cat>
          <c:val>
            <c:numRef>
              <c:f>Pivot!$G$53:$G$56</c:f>
              <c:numCache>
                <c:formatCode>#,##0</c:formatCode>
                <c:ptCount val="3"/>
                <c:pt idx="0">
                  <c:v>150</c:v>
                </c:pt>
                <c:pt idx="1">
                  <c:v>182</c:v>
                </c:pt>
                <c:pt idx="2">
                  <c:v>163</c:v>
                </c:pt>
              </c:numCache>
            </c:numRef>
          </c:val>
          <c:extLst>
            <c:ext xmlns:c16="http://schemas.microsoft.com/office/drawing/2014/chart" uri="{C3380CC4-5D6E-409C-BE32-E72D297353CC}">
              <c16:uniqueId val="{00000002-81D6-4E18-A391-13C5F474457A}"/>
            </c:ext>
          </c:extLst>
        </c:ser>
        <c:ser>
          <c:idx val="3"/>
          <c:order val="3"/>
          <c:tx>
            <c:strRef>
              <c:f>Pivot!$H$51:$H$52</c:f>
              <c:strCache>
                <c:ptCount val="1"/>
                <c:pt idx="0">
                  <c:v>4</c:v>
                </c:pt>
              </c:strCache>
            </c:strRef>
          </c:tx>
          <c:spPr>
            <a:solidFill>
              <a:schemeClr val="accent4"/>
            </a:solidFill>
            <a:ln>
              <a:noFill/>
            </a:ln>
            <a:effectLst/>
          </c:spPr>
          <c:invertIfNegative val="0"/>
          <c:cat>
            <c:strRef>
              <c:f>Pivot!$D$53:$D$56</c:f>
              <c:strCache>
                <c:ptCount val="3"/>
                <c:pt idx="0">
                  <c:v>Jan</c:v>
                </c:pt>
                <c:pt idx="1">
                  <c:v>Feb</c:v>
                </c:pt>
                <c:pt idx="2">
                  <c:v>Mar</c:v>
                </c:pt>
              </c:strCache>
            </c:strRef>
          </c:cat>
          <c:val>
            <c:numRef>
              <c:f>Pivot!$H$53:$H$56</c:f>
              <c:numCache>
                <c:formatCode>#,##0</c:formatCode>
                <c:ptCount val="3"/>
                <c:pt idx="0">
                  <c:v>312</c:v>
                </c:pt>
                <c:pt idx="1">
                  <c:v>373</c:v>
                </c:pt>
                <c:pt idx="2">
                  <c:v>351</c:v>
                </c:pt>
              </c:numCache>
            </c:numRef>
          </c:val>
          <c:extLst>
            <c:ext xmlns:c16="http://schemas.microsoft.com/office/drawing/2014/chart" uri="{C3380CC4-5D6E-409C-BE32-E72D297353CC}">
              <c16:uniqueId val="{00000007-B67B-46EC-B0FB-47E1D554BEE0}"/>
            </c:ext>
          </c:extLst>
        </c:ser>
        <c:ser>
          <c:idx val="4"/>
          <c:order val="4"/>
          <c:tx>
            <c:strRef>
              <c:f>Pivot!$I$51:$I$52</c:f>
              <c:strCache>
                <c:ptCount val="1"/>
                <c:pt idx="0">
                  <c:v>5</c:v>
                </c:pt>
              </c:strCache>
            </c:strRef>
          </c:tx>
          <c:spPr>
            <a:solidFill>
              <a:schemeClr val="accent5"/>
            </a:solidFill>
            <a:ln>
              <a:noFill/>
            </a:ln>
            <a:effectLst/>
          </c:spPr>
          <c:invertIfNegative val="0"/>
          <c:cat>
            <c:strRef>
              <c:f>Pivot!$D$53:$D$56</c:f>
              <c:strCache>
                <c:ptCount val="3"/>
                <c:pt idx="0">
                  <c:v>Jan</c:v>
                </c:pt>
                <c:pt idx="1">
                  <c:v>Feb</c:v>
                </c:pt>
                <c:pt idx="2">
                  <c:v>Mar</c:v>
                </c:pt>
              </c:strCache>
            </c:strRef>
          </c:cat>
          <c:val>
            <c:numRef>
              <c:f>Pivot!$I$53:$I$56</c:f>
              <c:numCache>
                <c:formatCode>#,##0</c:formatCode>
                <c:ptCount val="3"/>
                <c:pt idx="0">
                  <c:v>224</c:v>
                </c:pt>
                <c:pt idx="1">
                  <c:v>247</c:v>
                </c:pt>
                <c:pt idx="2">
                  <c:v>250</c:v>
                </c:pt>
              </c:numCache>
            </c:numRef>
          </c:val>
          <c:extLst>
            <c:ext xmlns:c16="http://schemas.microsoft.com/office/drawing/2014/chart" uri="{C3380CC4-5D6E-409C-BE32-E72D297353CC}">
              <c16:uniqueId val="{00000008-B67B-46EC-B0FB-47E1D554BEE0}"/>
            </c:ext>
          </c:extLst>
        </c:ser>
        <c:dLbls>
          <c:showLegendKey val="0"/>
          <c:showVal val="0"/>
          <c:showCatName val="0"/>
          <c:showSerName val="0"/>
          <c:showPercent val="0"/>
          <c:showBubbleSize val="0"/>
        </c:dLbls>
        <c:gapWidth val="219"/>
        <c:overlap val="-27"/>
        <c:axId val="959998672"/>
        <c:axId val="959994352"/>
      </c:barChart>
      <c:catAx>
        <c:axId val="959998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9994352"/>
        <c:crosses val="autoZero"/>
        <c:auto val="1"/>
        <c:lblAlgn val="ctr"/>
        <c:lblOffset val="100"/>
        <c:noMultiLvlLbl val="0"/>
      </c:catAx>
      <c:valAx>
        <c:axId val="9599943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 Orders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9998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rich>
          <a:bodyPr spcFirstLastPara="1" vertOverflow="ellipsis" horzOverflow="overflow" wrap="square" lIns="0" tIns="0" rIns="0" bIns="0" anchor="ctr" anchorCtr="1"/>
          <a:lstStyle/>
          <a:p>
            <a:pPr algn="ctr" rtl="0">
              <a:defRPr/>
            </a:pPr>
            <a:r>
              <a:rPr lang="en-US" sz="1400" b="1" i="0" u="none" strike="noStrike" baseline="0">
                <a:solidFill>
                  <a:sysClr val="windowText" lastClr="000000">
                    <a:lumMod val="65000"/>
                    <a:lumOff val="35000"/>
                  </a:sysClr>
                </a:solidFill>
                <a:latin typeface="Aptos Narrow" panose="02110004020202020204"/>
              </a:rPr>
              <a:t>California Counties</a:t>
            </a:r>
            <a:r>
              <a:rPr lang="en-US" sz="1400" b="0" i="0" u="none" strike="noStrike" baseline="0">
                <a:solidFill>
                  <a:sysClr val="windowText" lastClr="000000">
                    <a:lumMod val="65000"/>
                    <a:lumOff val="35000"/>
                  </a:sysClr>
                </a:solidFill>
                <a:latin typeface="Aptos Narrow" panose="02110004020202020204"/>
              </a:rPr>
              <a:t>: </a:t>
            </a:r>
          </a:p>
          <a:p>
            <a:pPr algn="ctr" rtl="0">
              <a:defRPr/>
            </a:pPr>
            <a:r>
              <a:rPr lang="en-US" sz="1400" b="0" i="0" u="none" strike="noStrike" baseline="0">
                <a:solidFill>
                  <a:sysClr val="windowText" lastClr="000000">
                    <a:lumMod val="65000"/>
                    <a:lumOff val="35000"/>
                  </a:sysClr>
                </a:solidFill>
                <a:latin typeface="Aptos Narrow" panose="02110004020202020204"/>
              </a:rPr>
              <a:t>Based on Amount spend</a:t>
            </a:r>
          </a:p>
        </cx:rich>
      </cx:tx>
    </cx:title>
    <cx:plotArea>
      <cx:plotAreaRegion>
        <cx:plotSurface>
          <cx:spPr>
            <a:ln>
              <a:noFill/>
            </a:ln>
          </cx:spPr>
        </cx:plotSurface>
        <cx:series layoutId="regionMap" uniqueId="{00000000-1FF5-447D-9719-EED323447071}">
          <cx:tx>
            <cx:txData>
              <cx:f>_xlchart.v5.6</cx:f>
              <cx:v>Total Amount</cx:v>
            </cx:txData>
          </cx:tx>
          <cx:spPr>
            <a:solidFill>
              <a:schemeClr val="bg2"/>
            </a:solidFill>
            <a:ln>
              <a:solidFill>
                <a:srgbClr val="FF0000"/>
              </a:solidFill>
            </a:ln>
          </cx:spPr>
          <cx:dataId val="0"/>
          <cx:layoutPr>
            <cx:geography cultureLanguage="en-US" cultureRegion="US" attribution="Powered by Bing">
              <cx:geoCache provider="{E9337A44-BEBE-4D9F-B70C-5C5E7DAFC167}">
                <cx:binary>3H3ZctxGEu2vKPR80a4VhZoYT4QLvXAnJcqSqRdEi2xh3wo7vv4mREpmg5AGjHDHvdNtzzgkdFYn
cFBZmSczq/593/7rPtpt9Zs2jpLiX/ft72+9ssz+9dtvxb23i7fFIvbvdVqkX8vFfRr/ln796t/v
fnvQ28ZP3N8Iwuy3e2+ry1379j//htHcXXqR3m9LP03eVTvdvd8VVVQWv7g2eenN9iH2k6VflNq/
L/Hvb+1t5H9NdeJv3+5fI7+/vUuj9I2dVknZvX2zS0q/7D502e73t3uDkLdvfhv/1gu93kSgelk9
gDC1FqYQTDLE376J0sR9+nsDE7yACwJjE3//vattDCJzFfmmxvbhQe+KAu7m239H0nuqw+3/8V9u
+364/eFxu/Dkf3/7Z+KXu4c3t+W23BVv3/hF+u356M5Oh3v78/bbw/htH7D//Hv0F/B4Rn/zDNPx
s/xvl/Zh+y+QXqTFmz8SdxftigMgyxaIE0ItxuW3jzUCGFsLwigFiAUaPiOYX6ncNNpTg8wAfUrs
yLCHqb6td3p7COStBZYmwUQ8AovAKOxPbbQwLSQJZeb+1H6VUtOIvxxiBt4vhY4M7dtt8mbp79xD
WHCyEJgLLsmLCS4W2KQWtuiTBdgH+1U6TYP9cogZYL8UOkKw1U4nW/3gJ4dAnC0wsijgSr8ZbkRH
8xuLBYEVXQr5EvHXKfZz2CfGmYn9hOSRvQB/xNuHVB9gSbcWsFybiFhshDhB4KwRIimSU2v5fIWm
AR/JzwB6JHFkAF9sw90B4JULxCh4YwDjt8+LdZssJObYtMRo3Z6rzzS6e9IzsN37/pEhe7u91xDl
JOUh7La14MKUlIHv9e0jxrMYLyASg38om5rFr9NtGuuJMWYgPiF1dLgnby4hjDwE7GLBLCaE/O6G
vYCdLAixMAA/CsEGT2m2Uj/DezzELLjHQkeGtp0CjbAFC16Uw///85wKwpaUlIrpyJuQBQYrwAUG
l/2RynmkVl6r1zTmk6PMgH1S7siQhyk1QB5tv8H/TwMvFgOfAss3oD98xhEZcGqWBTOdM2DbngP/
SrWmcZ8aZAbsU2JHhvofEazpD4eY6mJhIWYRy6SPiE/ZdkHAaQdf7jngr9BoGuzxADOAHoscGcjw
Hr9Z621y7xf36fen/U9Q5GIhLIQEzNxHjCGq3qfTyIJBjoBbdCLe/qHRnHVmGuq9G/sxzAzApwWP
DParbXaIiQ3kuISJC2mQx1hszLHAGk6sIW1ijWb2XH2msd6TngHx3vePDNlz4NB+vO6PxvOfmM58
QQUEWJyZj8iC0703nTGE4eC+YUrAmD+32XP1mUZ2T3oGsnvfPzJk15ATPAgzai4ExSbnGE+basBW
WBz+wSMHbL5G0+iO5GfgO5I4MoQhJ5v4RbStDpHfEguTIUG5+TOeDC8QGnKbYhRfvU6raaQnxpiB
9oTUkSF+tau3B3Gx5YKYRFgU8Z+sxIA2lhBTyRErOl+jaaRH8jNQHkkcGcK3aZLGh/G1GJUmuFtP
+eoJXwtSnCYDGm1/RZ6v0TTCI/kZCI8kjgzhj+DuVAdhRhh4y5CzRD+jxGBhhuwVRiYamexXqDSN
8XiAGSCPRY4M5WsIkt1D5K/oQkjMLMtkj97XmP6CvLTFIUVpjmuN5ms0jfFIfgbEI4kjQ/hyq/0s
LQ5hq78lM4iAsPen0ZM0mbDAlj++BPsW+zWaTWP9YoQZaL+QOTK8HylctdVfDsNrs4HgskyY3T8N
q0xpUYapOQX6q9WbRn56mBnwTwse2Tvw3odywsJ/OIxhlxbilD4xJoP53qdMIPEBxYYEjyuOXqXU
NOovh5iB+EuhI0P7tirL3SFKjCSkJgmB4tGnqT5ewyGFZRKO2Ytoa75G0ziP5GeAPJI4MoQ/VJCk
PMRkNiFJiTAs34+lYi8n8+CKD2lKDnHYc/5zvkbTCI/kZyA8kjgyhGFZenNR+cWb6y9+kR2i8oRD
1EVMIEcgfzV8xnYbygZNsOkYk4nM1StVm8b8Z/c4A/yfiR7ZW3ATbe8PYsmthQUVwBCPPc3zF6wK
8GYC6g0R+eHUPZ/t8/WaRn4kPwPwkcSR4Ty8zmfpNq/8QyS1xEJCDwAj4Kd/+0yATSSBVVs+sqgT
lWavUG4a8ak7nAH7lNj/APa/VnHvvoc2sD++r6UTKczX9uxBeT9kL02Ixh7BHpt1INNMDGwqZk9O
3Pfffqoye9Zl+Djjp3Saxhg6daY7FB9v8dcP5X+uQe9yp++hwdD+xysEIV5CpjQt82eFYghqRrGE
1rzJSuD5ek2jOJLfe1mn2zBHEkeG8zm0+R4iUQmuNjThgdl9asAaVw4NExWuQbA1LjWYq9A0vvv3
MwPefYEjQ/dy+wCNlgeYxeYC2iwpBzZ02g6De41MKPQFM7xvgedrNI3vSH4GwCOJI0P4pIq/pNFD
+c9jzKCxyjKB7iCQXN7jvAh04ZkYSn2hDOzbZx/i16g0DfKLEWbA/ELmyIA+jbOd9rfRPw80hTZa
aKHlQ0A06UFjvuBQWcQxNOANn5EH/RrNpvF+McIMvF/IHBnet962OESLBkxrLhg0R9OftciTBXRO
Iwvok/15PV+jaZRH8jMwHkkcGcKXu+QhvT9MnzRw2UMmWoinKT2OkwhdECRMSuXI/XqVUtM4vxxi
BtQvhY4NbUhMH4j+EAwIEPTUhvEia0EWHBrmIYM5Ki8ZMsOzFPoJynvicxDeEzgydAcmR+1gU55D
cNkm1I5A4gn87R905b4/Bs2ziCDw1cYW+1VaTeM8cWczwJ6QOjLEV9GbZapht4MDOGTWQhBpcvI0
peU4eB72PJADv80nHbJXqTaN+sshZoD+UujIMIe3enDJdNUfAHQIqQXDDOGnQpIJQw7bX0A6a1zs
+zqtpvGeGGMG4BNSR4b4JbRL7/SuOwjepoAN6Cj6WekvlBtA5a9Jxw2Ur9FpGu0XI8zA+oXMkSF9
m0bbgzTmQDsdFI1YA9Lfo+f91ZvA3ifS4ujF6j1bo2mUR3c0A+ORxJEhrIbCoQNMZLkYfLOhre7R
PXthuPGCQ9IKSg1GxMlshabx3RefAe++wJGh+6FKoypODgEwZJgt2FUMUsg/mcEIGBOCsUVelA3N
12ka4xd3NQPmFzJHhvStv9MHSWrARDYRIGk9Zh5fbC4HbjdchGpgMNbDZzSd5+s1jfVIfgbSI4mj
w7kI/S6t/nmTzWCDXwq7FpDve1e8CLDIwoQmSw45rBEH6s/X6Wcoj0aYhfNI5siQ3kS7ZBYV9cod
nmFCE8SxfJnBgm2IpIWhkXa0hcFsTabB3Refgey+wJHBeld9OUTueeC2MWSj5M8SGOBvwT6BFoRO
+5N3rj7T2O5Jz4B27/tHhuxp0h2C9wKiExGYsrAr++NnlHiGfbuhrMs0oUR7H9m5+kwjuyc9A9m9
7x8Zsh8gKQD76x9gzQXOEkqCIFPxxG9N7Bc1bCoDjVQjv+oVKk3jOx5gBsRjkSND2Ya45CA9ktBA
MeyubuKnuqCJfVwRNEObsGnB/gyer9E0xiP5GRCPJI4M4Q87b3uIHQugfADKQEw4X+EnDZHD7lDQ
Dgl8x2M99ngyz9ZrGufRfc3AeSRxZDhfbItidwDfGXAGJws6KJ6q6qeCYRMuM8gs78/k+RpNIzyS
n4HwSOLIEL4BWusgZ2XIhaSmgCzj00x+sSCjBcArOezeu4/wfI2mER7Jz0B4JHFkCENq5RDe9JB4
4FDC+X3vxjG+w8YjkFCEMGpcoztTn2l09+5mBrZ73z86ZKHC6wC+9LBbOoKZ+T1X/KJCF4r8GHTK
wFZ++1P3Mp2p0M+wfS4+C9znAkeG7h9R5h8k4QAnk4HRBSf6JxklmLkCPjC7R7tCzddoGt+R/AyA
RxJHhvByF725SuH0u4PMYehahBaZYb/04TM2z1BlT+BQDNg/ecRRvkqpaZxfDjED6pdC/y/Q/vmB
dT8O+1tuy+3q2zGBz86s+/XVb48JzjYciT5tAjDRJPgDk9OH399CkS3lsA3ys27GYaC9LQSGo0O+
2+J9mR0Uev/+Fo4dhMLrofyHYTi4TiAKkVOze7pEF0gyAvsSwA7rJnzj7ZsEXksPTjEEjtuCUAt6
HuEigg0q3r4p0urbJTAj4N8haKWDw7CQxeWPIxxv0qhz0+THM3n685ukim9SPykLGJgCx5Y9fm/Q
lyM4wQO4G/h7NBQVy2GHyex++37o14JH8H8kJdATkif8Oqwj99xw49y5bdswyU9M4oebhjGqOsFc
O7f40vWj6JRp3ti8MvhJ6MTpadyR+LJpkAxVEFlo3VZdoJjggaIxvrB4Eqgm8LUK3eTMkAG/FL2T
qzZCazN2uXLLcC17a8eDulB117hLx2F9bJuee560zXmQRGvDqj3lk6B6X9bFKalb83PUykQVgSdX
DQ42EUpPepptGuK+z3FSLZHZ9cuCBLWdxPqk7PGVLOROONU7n1rXfW6dEkvc+paxMdLiL8O1svPE
Sc9zT55qj/mnWDZ/RaVrW4Z3GxP+p+tbraKW9BQLaXaLC/cOSjdPqZWtAuTcUQk7h3oUq67OHRWW
dbMpPB90ZkJRSmtb60wokcrznHq1CjU5D4voKo9IoETgXuYx22qvvC775GsJD1rJMrX7tGlU52Rn
sQiFHaflCZfWEnW9ggY8oWSfuKuQBH+KjOIlFd1Z7xh/Wdp71zXMsb0yOK3cJFO5KPqV7DyVWkmr
MuyYdtCkJ6TJ78LO3YSpkdqc6n7tdlFvu5l3X8S1trsM82WCu41p+GeRK+kmtshVkjGybMrIW/pa
f8wcj62o/lqZHToxQ1OuHDcPlcvNpSXwV6MtfBsWw+s8qnLV+35i1yL/YGnLuDBkdBJy/S5yixNZ
61qxOrWDMhM2d5NQtcjtPndJf2a57EHwgq6COpA2Tvs7prMz7rLPLerf5Zbxodb4rskcrWBmfRUx
69ZpE8pVVgRXsehOwqKVSjNc2EHV7FpLpsrA3LW9zF0HpLrvPN0oyula1OF9B/xIqgKd6TXxzeJL
LRG5aDn3IhVXrbspYZORaNnwjm3g/s2TuMNtohzuV9KuY90JVVrC0CoGa7BERCRylTsgHA5PvE/8
UPlOuQzByq2lgfxOOaHh2knmeSddja57mAzvOisQm9CwmncZK7hqG3JGaUBt5kpFc5Dp/cy4DlyX
KtGidEXhbVOa5zRUIe7QilG/PY2FwRXPU//Mstp+I2rerFLfL1XnNa5Cdb1uyvjeQu51XrupAiN1
Sas8UVCg+q4rhLssouAqNzNfEfypsXh3q7ER3iU4oIrkcXFDcbvEjs5WVgkvpDZpuEosV9WsLFWb
ZFRRDHN22EJxExNpLEWCeoWbqr6KGVu1biqVMLrLkNSrUCZEVbn2VBWZSBG/+KIrY4NpRlRN9Wli
VlQxbp0ZcDDgGXYja5lmAVbESvRnInKmeGI1q8qtTcX8vFSJJ6KlH+tsbWRRbPdlj+5zTP4K4thZ
ywK+2+jG2iR9C1YpjPgmjctUFUaANnWYpwqTAV/HjFXPnPNcepuoaa58mFF201dngdTvvAbuGhl8
jd30HHd048dOuUplVKig15fQoWHZrScysBkVINRHdlaE6zLwunWcxO887rOlDoS0U4ufW27lqiZD
G5+Hd6jWm8oobvuwrlUU6Vh5jV4lOLwsKu2uuyr2bF/ojZNlJ2ZVfHWp4y05LB7LzIhgwoaRIpdW
G3+IiyC6kF59k8ATVSnz5SpOuVZujk54UH7qzGTdsOy8cqxdmxKsojQ+K8OmXbm43QiT3T4/jXZv
7blPs077rvd0gvCPP/7nQxrDv9+Op/37L4cDiP/+02aXDl39xfhLg4fw41t/H3E7rMg/zrsdrfOP
pxj/xAn45cWfewjPF3sOlfu/cg6e7y3wuC/BtyX3m9R39wBD1+VwpC2s8RDXD6v53+4B7FI37BEM
e0NbsDfCM/eAQXEhHjgANGyIAL4mLNrf3QMCjSEwIJzwYEEzGGz7/hr3AIMLsu8dSGB84YA2E+oc
KezGAX7Ic++g7Gma5VXVXiUNlau6cbxMpTQQoR2Kpn5nGrw7C9o6CVcIheVdmbL6z5AVba4KmeSf
nj29CWdlaCIfawOnQEIHOuwiAIeUDCml59qwpMtC6YENIXmCr9ywTxxVidT07LYuwaLUDavuRJ0Z
vtKxVeZ2HujQVU5fCGYDZZI8yLJE1zCGVy1JFOE/e25YeNOZ3NnhzsDt+tcaE4jcXmgMBcFAuMJ2
JtBai0Ya+8IDbLvyirbcdZdm20d/1lA3Stel6FIODk+Lg6UvHEv1wux81YUILGatO7zUdVo+eG1R
YNs3Mr4s4PjuWpWxh2olNA/dlZsG3k1YybO4kF6xhMy6/Fh4+XkYNbxd+YVhXvraq+PNr+/qJQyw
zQ6C7lKIYsAH/XbTz1xG0RluA5a1uEpKR35MXfBkwS0i8GpkSdXeNK2Wt5mDo79+/bPDu/bcUwWP
Fw6YEhQyUdAWReig1rOf5ah1WVa4yVVigT+HQ6+6Sgpt+5bjffz1L4194uGXYGWHjDW0SoNLPHrP
soR1PaxH6ZWVIbbNm1RHG6e0OqLCzFuhvAJHiaLOAo+F8ib+by/N8FLs3yi8KJAxZ3CeMXRkj38e
ao59z01i/0rkId/GQcW3YTTowPu4WJk6TVWHAPpNE+UNUXmYil0ZyeK0kR27aE2qkU2bIA3tQCTx
n1RnhC49q+t2mVFnS2T0MbhZMmX6hFOzr9Svn94QIY31F4PZgIQgnBQEaf99oJBZ8YRzx7jElRNv
fV0WrgLvoUyYol2XuGeN54dfXEtmF22fe2szZa1vE1yLr6Xo+9TuPFfYLA3qna+peKh55omzXysJ
/sFYS8oovERD3hq6KrkATu3562Rqy0fgc9PLgOWZA551Kb1+05Ytleuyripbtzl6V8cdr5TnecLW
ONkURGebiGXEDqM8fp9FPG6ViBr3UxNALNQV4P5kPM/+NIvQWjp54thVGgS+8ksaNMoJiuSqyYzi
Ojd6unJdLANl9E4S26T24hNultF7Erg3bpfQVkWVyK9KJ/9QktigS7Mm8CB9cFKXmlU9OCCNFVxE
HrfuHFSxM8+08EXvtrW0G+SxGHKlnX9qWLqLVdNZ/RI33Fj2QXufFXl5WyFDeKqJS7F2irw6ZQ4h
H3IPN+HGEQb2Ve+FzhcIXcE795Pc+FzFIl5mWUFOwzTJTnEuowe/zkyY9zQOb33ptELVOXPPtKMr
u4PnsMGMgP/fxO2KNTpfY9ziehXBSXKuXTeulds18ZxVXFC9rDJ57TmGi5YYQ7ADSw1p7AQFprJK
Ef3Vxsg7J1pmt5yWfFPJwCDrwoz7rWWmelWgNujXdWi5a6Nt0ZYUUfO1cLOM2z0pUaUSl9Tuui2D
FCZH06w6t66stU7BfYpKGp8k8FUFWwHrFB50XAsVFEFg2MJphsiNt71iZeTYtDSSeKPNcOWyqkPv
GorZ0i80ilQAb1K5pmUji01LRXthhn0fOe+qJi/jWHV+1CX6wXM8Qvq7ojFaEXtKajDl6T3p4qCk
Goq9qypDV2VYxmF7Jv2839SyKp3TWPt+pgISpbdIGPQ06Cit7AowcFSXI9kCXLFlLRPHgfWwjMIm
X5lh4yJbRyV2rr0cmSI9CTvReMuujWR5YRYlhTeqcVJcNHYFa+HaNLzAua5h6phDxJ+BS49pWMTr
JPK1VFEOi5ezamvftA0H9nPiEKCihMHBhE4c256sGmfdRCKKV4UDXsGaJ27c21bPwWImJGSVHXva
iFRddG5xU/hGHK9SCK6/GlUtfLREKSk3PrMq64objuucJVSUwCXYSVvkfXdSQG2n9laZ64l45RR1
n6+lLhJ/3UVm3J2googzm5Mu8m3R8i7aaD/3DRtgJZ+MLO4hUKZmGC/hf8i4jgJkFPDIk+QTxAYy
PqValtEq9ErzfV+VlK4DAzzjc6/xCgHBkUe8cuPoOktuYTGmZ4Hbk3BdZaDBKi0jt19ZuO2lbQVd
1lzGVgevtgFTRS8djKszTTlEj65D3QrioRrg9EUB/knSB7TfRSGcKbC0QIF4SbvYy08x8tmJ64vQ
tEkY5nTpp76z7Csn5MpodCZvAqcJmE39POhVnAW9cY6ciK1x5gCzIjwpshXuvD499XzcAFsgmdeo
4XsKS18m8Pq4NLfbxjd6Vba+8VlDiVhnKB/mEbnCELH2vrJqZtAPXdSQ6srMZJcuE5mXl7xKYEly
CxGCgIyB5lg7voeTux5HiXeWd3HUrouG9/45Lt3yAwsI3/LWiR1lQcRE11XSCroqzN4H5SscxMuI
5mFhW42z8rGf30HUBZ5F4Ab1bcHN5kumPXpSi8Z1VlbIEVGJ5cA4PEqDdp3oGl/1bUbZu6Lk+AMu
DfhGYxqFZZe4E+2qJnHgn+iWkOY0EW5Brn1DyI8JyoeXMwjyYiOiwitu2o6Vlo3yBrDxmgQUSwsw
uuewgsmPQKTB2x2DldRL2PGqTU/LQjrkJtBVGL6HmFSy05YFTXVZtuXgfHpde8NDw2xXaRPDT6dp
39eqJXHZb1AohpsfVG/APoFeWYyvGE/gLqqcw6PywjTsbRnWMHWyyA39d4kWMOV1BV6BC9fAppIy
8a5zzDqdKJp5COBudFtdxoaXFcpHVd6uW2hYoyugp8hgNGAy2XBHYEBaiQc/uUzijw50rp5Zte9b
yvJ4CO9F55rbJqGgRquD7j0tW1Scu+DmBudploTBrQWrxaZIEL7KpZvfQT+zmSuPeT45Sy1XVueO
l7r1stMib8DBhTg5I/BYbSTy7j6MQn7TVgVwdznq6vBTA4RgcRI7Rvy16+VgQ/wcmCaIAyy68knn
FevMjOUnAznxOm4yN1eCgZnrdOO999OyOJdxGPAlJ5q4YPaAqFe1R+RHHRi1u4pIAtOkNxwqT1mS
4nwXg0HuzqCiGOZGM1jsVcANeKJt3dcQtfMmP8e6IqbtyKisYaWlNQLXOw8+a1nLD0YHbvpZL0uN
H8oi6QoVYyzqU78hMFQbY6+3WeOa7mkGsDS2EUpz3ad1XV62nYhugfHMlSWKExa3NT/pGxPACREu
+k0WhWl6mZgtuzBKxNKVlydxfe52TebZFi9i7wN4IsUDkgmYETCdBbCKXtEUSja1lcMq0OW3kZtj
/y/gzKhVqx48sO7PrKSGhMEKR688YYTumeFkzRfPRUZtR6Iww1NfIvyuLQyn3+gqL/yV31fwkvqk
DOhNG0Y9v4rNLIpUntXIvGTYY63dgXdTrBoP+JZVYyW+q3QvYrAdRRGtcEtbvawjYulNb+Xw9oes
dcWyczpU2E5WmPkn4NTwh8DT8K7BSic/wrsOLFMigdBYVySTwdqKPbNRbXXndpobRJkRjt5zkuQN
EHJuyS6ZE1n1+9wppIbFHd7oVeZTQBMCh6698GkZphdCZx69IS2KzFMRIasH1w7Yt8tQG1mzjAsH
bAZ4Y1V5GUUO6K9l6K4Lzwq9ZdMidNrlDOZ9Bwy9r5jjictvXulTduPm0cl/5OefcxnPqY05HMml
f6/TIv1ajkmSvYH+P2dSJnItQ0nKb8/5mr1cC/Qlv1n6O/fHWZh/J1y+1bI8JVywuUDDTjdDkwAc
conhd74nXOC8Di65JSnwLHDCKYGQ4HvChS4gFQKMLOz6DrXIkJbZZ1Tg7C0pEbAqHM7teRWjQseU
AJzVB3GHBYd5QesZFmi4/iyM9YPAKzzwOC9hew/g8sDQwupoVyYPz2IfrBqxcd2LgRFHGWmXXtL1
t1XqLF0vcS9oFYht6CXghua2i/LPgYgwvmlwkbkqqLsMiJc6kdeQLejPXFpF/mleduQD1PAa/BQX
SMNaLY3yOnaocxZ2JipX4FsE+NYXMmLnvdtHxb1MXLO51DTT/F0WR5vaTKKdU+f+Mk38KrIrcNCC
DQosvJa55dfvy7wrT1lECkP1EDX0Kwd11eeeiSpUIvfQOamkc67zHDj8JGm8ldfK3Na5LlcV6vxz
XkLg6jh9VqlAOhJOYUs8qVjuNMBdM7O3w8SrbjxwICB+/CxC9z4wWbyC0DO2M5PvsjLemTLFparj
nD00pW9bKLFJ7sKS2iO+LkOj+tyYrqlqgnzfbsIKAyPUBKr0S+sTNvxsKcPGuW99sz4paEJOPcPx
LoyQxCch1gJi8ao97bMs3zAOqQpd96WKw6S1uZV5sD5WkJapnUsAN1ua4D6ALXaWVhmfW5WEBIuj
xWXHeX8asmjIZclIMSCWhZ/HSrskhMjYCsCNrsDNTMJlZsmdxTxjY9X9SYTlNQ18c9M5TamMIoYU
i6OZKlj7F/OYswwbsKmQ59uk4JCAP9vaJWQ1rkLaljbyvNaWEW+XGqq4V4GRkWvkhuGt0XD6PjHN
ZBcgps/i3AcvuGZAqPj5Q9LVwflBbNv/ntViwN/80mpBzvjpKJPn7PFjenkQ/sEFw0GdRDAwEAzK
t8Af+9tyDRubCyjChkww7L75nAumfIEx7CEDdLAEcgxs1N+Wiy6YSeAEqsHWIKjfZa+xXGO7BZYT
WClooxRgvSRsMrVvt6iHjabsYnblxZ/74qpt7549lqel73kqmuEx7wU3AZwXGTY2AroUOID9X6ic
gpUOb6srCEVXhGRfu4xdRU7wnuvyKzhZkDHR/jJmNF9iIzklQp6AL7aqRJYp0zDTTdrQTSL0iVGg
D0HlrVmRPRgRMBlEXlRct3YB+Q2Ik6NrXGMeXtC6zOk1OBopOBZ+rVx4iDb38rhb07TrC9Ugftp6
hfO14QiSOuCBLLvSF0vG/OghJ+CHhxDtrFhBLKWRa/wVREYMhoTdV14br0ssXJuFwMhCPjlVLrau
RSaMVWTpv6R26QpINE9ljDU3QdtgRUlarrGmgQJX/rzW/ueQkAtOyFLKuLto3Do/iZL0JEnKfqmB
F3J4tKG9f2l5kA3s++SzgRquMGu/xqFxXbaQzCzivl+DwV66WXkrglgZKDulufwcIgM4j+qszBDY
p6p714bWWdBDPtPt9RKX4VkuxNbBkF0sRXDiQhKvCv1tCZG+Aj59yMidRG5wbQBhx5Nm6TnkDqLZ
M1mJkzjnFyzJ+VKT+jKi/dKM6UpnUFPQ5QJyUfJj4PflSR9GN9pJQ1X03nnpo7ssJ6XdGcEZM9iH
MsKhIj3kNWnPbn2apLZXtN6qsvzTLsp9xQPOgVIzNygfMlxm+LliUA+AtA1YgJFNynoNROpZ22tb
svoTS6ndePzKLMy7ouyvQ5+992InUUBTwjJTX0LYdJp2zanbBp+8unNVLJuTqG4uPBLdmjiNVRlE
n0hSfMSO+GQ61TrV5hmwG0A56c8mKzNIQsuNQYu7FG4eOJ12Y3T9QxiJVSc8Wzt8ScP2ImsCCzKe
bqZYl8CgVgEEunCUa4rPMAvWgR/cuY4TqLYog7VRVfDa5F+7NDixygASvNnnSqM7w0C3hehyFTrB
sm6ljXj0pQ+dd2GMwa/t3IsQ0h8b7GahYob44AEzkWeVZ7u+GygUx18kBhfXyLx6ZfWCQ9awSM58
3+yXRobrJTdvA8n+qoBzXxsQbagoG2ZP0NwiHJwbVWZBKrjJlzyHPCrk1N+3FiSzq66KzmsXQQ7f
pMVKRlmtCPOdVVOYV25JzJXPzY/ItNylzB3rCzAu9crDXKQKqMQK5reuncKOO8PpVODX/lWrffMi
z0y0lPAoFA0zCO6MMFwGUeotmSc0EKUGWpU9KxSkJML3qWUSWJ0rdA7OAQSzQNyX/5e9L1uuFNe2
/ZX7A5wQnRCPV8CC1bq30/lCOJ02nUD0SHz9HatyZ5XTWWXHvue8nIj9Uk04nbBYkuaco6Pr9+Oo
LlpQCFuwFA5wLShTTKsbEpexMsqK6UDNbOZD1TaxubpxCignWhWY0ckRLQCeTlq8LsQFBgdRBcIY
rtYZnzhN22d31fd9aj95VQdM3UQbYNaBbxpGqIVxSCuLcFOYLq+oi+IMpvVGnhU03PRS8TBVzfUy
90tgWfTCwfiNkyXoSweiDnMC193svc7DgWjipr3lqpnsLGjP3LLUu6xLE8AmZ3lE0K7jQZRGnLv5
kQjyUPVzYE9kt/ipiBtVfXXK1OVDMQYLSylQGaJ46hTet3YxrGBdMeyh51rq28qsl81c2LHtySLA
DMWCnK1VBAlHf1xZdbKtNqn84crs6BCIYeCqRuOyLm6II29rmekUZTbtt0LPd9Rob2urDqYa/H44
9FMeaYgPfJw5024hVH5tnNHA+Wu8dkNOQj31guNyIMhb6lxIW/Q60JU3J3OZz3Hj1DrG0Z8/pB2u
YE3itqntIjRRPXeT7sudKLNT47sU86zNthOIKe5I7xZqiBL/VToAXKyhC7WTpht037c01bescdcv
wOGLQExy2LhTZnJvUZtRQyLUkrmJpe5kgA634/3sTl/6QrCNYrpYA1EAUa2dfEycucFXvLQbm9WY
Emv5SOd22yzFRnk6mgZ5QbS3qzp9R/IymgvAQ7LN7yZh3TIguXvMqfNWGmUfylTooJ1AGbSEPIJo
sUNbOd2XibZm2Mp6xbSPhe4VU8sBaHyxlD/epJarNmwyfEhdiI4+Ls+/kjrM8UEmI+3ERLYkvAOQ
KP9anK26RvpoVjaApssQaPgWiNzV0g+fkV9/f51z9qFnw83/WxMABqiuMOucaiGOA7XucCpdsrr+
iuOyB43h4wvQIplVuxGsSgYrP+SzxZnV7HFSHdwUCgy/usrT6Zp2JLJz4F0+NCFZ+iInOgOvdrmz
shMl2dP/xxOC8QKvKXDAmxEMnm8HO7eeZDH6FQieOuOZviUlEHF5+Pgi53zHN+Qavge8AwVvl7Uo
O7susdB/vcowVa2uK3DgwMAHblBna0scDCTtUDfm2Y1SY/4CdlZeNT7WoE+2C1scLnWLg8omV2tZ
b3Jjna6gV/NvGlSlSc4ng5gYSOSCUm4BJHNldiqg+1IpBCOLhX1D60Vw7bvrtWuKp2oUgSmyIl6X
jqeDSaNcFFVUjfaz0VsbF+NQgFOJco0ROJCdHQPaqThKEVqbnG671XqBNu5JeS6fXFJw5YmjXj1M
MWCXE2Iu5ZHkLQQ4asrRN41FmPulF5pFdp9OZn3bAfIJfTM7uHXrggVqx4SaSzRLlDgT6iMNiULU
EusCEEETqlWdeQxxSMnT5Gwm19viXHxkhqixy81El86jOPMKTdusvKU9tw0Srg5aD4VtFnrZJENl
1Ek/1i5APrWbyPxUFVb+rCEfIrSrQ0/kR0uugttDtynsweeTpa5rSsXJn0xu0lXtIcX7ARgBx4Fs
9W+aZuQb/M16wIZkWA6QcCLx+df1kNogGPCz8eSZ1pPtD3W4trM4UaMbOM7Tr9ngVrwZ8sCkKmSF
6KHfEEc8lRXQdOUlVjYcR8D/y2odXcm+2E6Tb4ba7TbTRJxt7VoTz4qq5jObWUSkUycYXttwAUIf
st5AP4KDiNSyCQq3u8nqQgVmPkhUg2ngIwCJpu0g9VwBadEnHyKYYDYl2NTauqOWRu+ss9AezZBK
gNJA9ireL/RLyeh2Sa3v1FMVbxccAxAM0kbdpn558KBP7KR9Q12o4VTLJ23duPN8rMr8pivc69rz
Y6rHL6yqQDk3kkS0m9ALdnM0TMt8BlBzbpdGSFILlYMaTwbWRND69qNpG1/MfO7CDtoXQKRkM6+G
4oaSken0MSHl1m/myJLgB/M5dKqRBIwte68v8UggYTVFG0xivLWX9uQztR2kfrIXCNBsvMXWo5Gr
cZ9TE1ZzdSFzdfAaulmkE+ZeUQZF4wWWX1xVrVFtwdhGIB4iKtKwbtHQSJphLsFmnA3/Cpzia+EZ
Kfc0CZyp3IzjVAV0AF4OOMk0Keg9yNLsDt+SmdWRk63Bcu5QqwmwhplGlbk8SDnyzCgu3dzhWS43
VmXsa1RxiAQTZorHuR02HQgqAOYOWFlUTZEumxHlvenrNpyMrgxFZcTlwvZrCazHBxq9mNkSDASH
7mqZm9Jk3F3YZcrMJGvGfbZ0h4a56HpHAQauXdpEC2/nZMu+tcoucCVIabstTHDYZZKDRzMGTAkC
qlUbXOHkNUG6XFI38qoFfcypVhsKyaeTpN780BKDs5ocqdv3kUqdQ5kDEp/TNN1P1uwFg2uagVem
TbzMa9iib0ikHgcAul7Sz+hCPDmCz0/naE5785PS9slOtc/j7xvgz8p9XfptBRINdX8ejjXAIzXX
PF0uqv5oYmL5uFT8KtP5USnenAxn5fmv1wN02NQ4GaR8MaGiUNezf2iyL4uTfHyhs0jtt5qE9344
1lmfg9zic01/88mWYZy7kszqtJo6A+quhqBIrVt3yEBFSQNrTs37ti0IlyYxj+yscKalBFhYriRa
8PcGg2m8Qgd3pRqbQfU53RuFvJDEuxFo3zD1BONg3ahsUGEzZpt6LL42pfNg5KK9zqZqjtwc1Gzt
Tnu3JJBcm5E2yRKgxYub0fYeoM+6aVcRAknZTfa4LWwLWKfeutAcgObb9yjboEP2ldVgMxncyKHf
bM2Huu2jQqTbpTWhbleMj279tBLtBtB8PHbK7x+sDMpPa7CzT57qr3jLj6/v7UOlvz7UijpN0adM
nZj6mq/fNPtMAfPJl/aucBBDoEfOKn0q2E1b+ryz7z5ZFh9f4L1ar6Z1RSor0yfXuiwck+MxkVwH
H1/k/BT+0kr9fEp4RTdaUmQ/0XdLT3kDuHkHn8K3Amt8HpcaPcldobxPvo3zCwTfXAjkgO/ilbDI
pwH4hdb0D9HTmzWuy6JZsrW1TmhjnlHUwluxSUMjgjYmeOANf9jSYD58uy6C/F5FTyLS37Cjh8Te
fvyBz+lzb27kt239x42+uRF/LvzWz3CMjJs5JAGJ1M0UQ1K88SM/EP3GjPGcN2bQc8LzyA/bOXJO
zfPHd3F+deZvd/F2db4T44l0EMzq8dy/qK0VQfe+8S89fjE4PA/jBzc40LCO/VO+UUlz4ya34C9i
leDc42sMpeYQAjoL/dA4TAlUVRc5zxXPwnvJpxMJdOxu/a3cL0l/V29uPr71dwTMzyXz12n1roM2
rKEQkIhiXXLJ283w0m7aWzPsgjJMQxgbomZT72R8+XyIpq0bYGAvdyX3d+UJUv0ghaqGf0+D+4/v
6g8l6O8L+c+7ou+qQwFtZ+9R3FW+9XkerEkdp7cN4VUAuR/lYPwDzUXMTl1ifQWQFn18/fM++f3y
f+2jd6cNjhpDD61WJ7LKyFuW/WpUp3ki8pOidD5VPrrOu1OHFcye51XoE3pq6HWfiUoW+k3bUUdA
bbSbjz/V35+hf36q98OkUePwd7tyOuVehcnvus2u/nsXeDfz2YoJSmsMUJW7t0rggL4XfnyFT76Y
9zJFo25Z42lsNNmewPxsWuvLOrFPvpXPntO7U3QwxVDOXjme1PlbgVvBV2Xw3/sc7xbYJFdwW0Ot
T8usgoKeIG8L1vry44t8srq8d6cSTTNDA5xDNVAUzqMmqsR4cdbJeRr+n8U6zVnxyaP72+8Hnm28
k4PZ4I3fXZLZnp22xTidnPq1LzeVnQPkiz/+WH/79by5xrtNA/fVYHSQWZzc0gF+f1XXn6AKn13g
3ZG4VrWyS9nNJ4JDG2B0ZYtPHtM7UfDPU/fPrUjPBeVN2YIAjVmpwDrGbMDBXe/mpDpiRAh2fZBH
2cXE6x+E4z/Oxu+sjb9f8vyp31zSBP5njlaOGvUFwHCDU/WY4dp8eYJMdjvzyxWuHJRuN6oDk7Mr
g1+P0bmqXz52l/YOU3vOy0iPPGmCPP7s9v62kCNs5c/W5f3KKfqFmCk2nXlxLuQGH6As3jZmwKvY
CR8aviNc71/JNwxn/Z3eL3z55PSyzsfTR6fxu+99Ngaad75GLxHO4RrqlVuU+3sRXvsnerDjKXy0
NilvgNhu+riNWWB8ckJ/dgveu7pnqMlwmqUdT8ZechUC2Sy/w1YVevvpRSVtVB+8GC7N1+zRDlRc
XWRh+fLx7vpj8PrgKZzt92/XSTXbtTM0WJr9Rm06bvLi3NVtq+B23qrttjg3Laex5g9kI8N608be
5cShV47y7cLzr+KTk/KPwey3+/lru7vvHgkzfHBDDY6ULnJiGlMRqs26WQ8QUvLnbJtuqoBt2wSg
3kEF3l3E0B000RhXm5siPDcJ/2oO/qdlSf/7qPuzw+ifqfuDHP7P/22yF/Ey/E7cn3/1T+LeO7/2
Enqes6HgBwX/p+SIIW4Hr/QAq08hODqrkX5KjhzkDtvAcfE+a4hG/7B+/WXiwot9TORxuRaIfdf8
tyRHv1YoAJwmXi9xtp7D1AJXM3lX3EvmwfLY+OVpqqPV9QD7xc5n1iy8hv2Xo+THVRC8CnILPSyM
mO9Osy6FNdxd3fI0yrIQoYT+5ixu1yxIbauKShtWHQnN6cHLGITHbV4GYk33UAWW16TNr0TBYsvN
i8NCCPzbpuEGJpsEB32PISfDVrPq7TTnx2L2k3YyD2RdriDLPXar3Kvevij6bEfKSvN6zqCFIp2/
8TS0NukElBCCm++mgvgZwm/8cKxgrhDTawGkmg8QwQB0TCffhx9XA4s2fA5fVkp3C6wycbooLxyN
AXSkDzBCTasE5zo2UNZbzj3UpB50w679FR4NAPLwLsUFqXJA4lPXigi8UQWczdShZhXR4NHbtNyC
fBwhTrXBQ+hBw245VWB7KctzPtqtze5Xq6OhABEY98YKZY8pF3hlgtaEcKQLJrcedcqJco0L1lnG
EX9/Gw6F5BUO1L00mpjB8RnSCb5oH+x12HusSGzhVLtJdZRd4nqD/dXVmTfsLS1nGWbavpbwlanL
3CxhG8+0v/d76u1m2FMfCd5T9DB7ecaZgCDNGZvJ2TIJCzdYS3dZE5bPcJaTZfDvpGQ2p43TRgYg
5NBqVQ5aDXBdlwFymS13BiQ+edGIZ35o4M57GmD2V3rO8NiZxf0OrhWrNiP0XAXPQMBfrzN8t0SL
CCIv/zrTrgkqPi9Cpv18I9uaBKpywlmibnTFA6vd+YCvbg5pV6xRPzZWOEAog9QBVezgeMojD7bl
GBCkGTR+6pwGcEjghiABp/acLE7jhbmyhisQFmbEjPpYNOI4Q+e/gTr1ypHuluUT5kUqEiQvVGFm
k8vBX25Af8532azYqwS5OpRVSBdFX2UxhW49hFXambfEmDYZHcGpyyryjXpTMXBWClYL8Bjfh2HE
G6nw8pJS33eAqHt73vnQkuAAgdp5jR1FjprNoe2Pielah7XPw6yfvxF3QoyAsRGLCUs+SLJJPzcQ
pWXyGeYgM1yosGMF2XtYufOjS4tvYqVOBJ/SsIODPIOjYD1YtbW1M+tI2ylcpuoR9jfYDm34ipkX
pTPdZBZLJrI+qnSIsjqF+Yx03E6hZDAhA9+WLtyMcByErudd4jNeg+MF/VKsGfICwOo7MymOuUOr
AGqRq1E0wxE49j6zFBbzaMaiU5h4Uw+rrNZ7H5uIAGi3QGQpxg6stQ+Okg/GOgaV691MVnbVdO3B
w//PkPjU03yV+0grsNrISssC/irFLV0BussXoPIwzgVZT06VUX2Vlfm1reodksH3UkD4MplX62KG
EImHEsyj65RBJzq9Xz0vAVoAEDLXzx0Ik8l3Q7+HMz5Xiut12TG5ajBaTbMbmfxe69QDfNiIUGei
AVNqV3HntzFYMuN61Ub3SQMFhPL3k/dsF0R8PQggG//+tX3JtVkPmoriJLvKimbh68ibdRXW9SwO
Y20voTenm0zmNd6+ub6YbTdcdV1FbtnKBJdKXU99eSAKOkLfeyBqjLucvkLen8HsBRw9K1PCkfCw
kSvWtEiLQKbuEEDDAktUN1uhx8ZklvJb761TUJTDveXlXTSbox2YpJJcNMHSBYPamm0FpAjou1n2
seXMl8KS8VB737Wobyav3MHasl8Hsesm6+C18gBhjB+PCywngy4SS+VuMMxFQFNDbnKnjDPUpXAg
w7Wjoedsc7ojuY99bWfkkI6Qg5a9uoOIxIGxCxEUlrYunGJtgo5SHaiiOs7tesqHclstbuxCNhoW
otumTQX2jvUFr89uMkhu3Kw9QJAOerKBa0Qse6T7JahrPcddrqhrw0aW/UVVimvH84FyNbMIaWNA
PNESnvb9JRjBGc0tQkv6vrxztNPxTBVPPvH2sNCBAMUCZQjhgM/ne9WR2GzBNDrmY1nrsLZpgOzV
ZME5ZA/IAvO9A+kI9Gq+8T0Fs8jhquB0GhSvRG1uIfHEWTYeCo9+sYjYELgrOEN8g64tMygHXUVO
nl3Yq2uGTW5B9NGWLIE7ZrqXtr3sIQDtjwJulU+gy1+nzD9aBAoJNfPwhmFY1M/ZSG/7bAQjwBo8
w9eaQuZjl7se1OKb/uzyR4/8VkN4nld+6ZxtILSwvwO5xmDFzjlpb68AM2sD+XeWnQSFr5JeFFOR
FO11D51v2QvADrCLldHH14SQ5JOrvpsfprYaW8c2jCPRwDotC/Qz/gNV8UvmoPfI/Qb0BXMhGLO3
89RUwQwXInYF2HZiFTJo+vWLNLxDMTokgLVjI/zF/MZyxwtrUt5RVi8hgPq9J5xHmsIWaAqbTlhN
jYym1Wsi1hqQRLYzC7xG6+0EX9U32ZTjBkE6cM4UxbPAWgXERvMQJ7AOR0ZJME/+DZRNK8JGqjuk
Z1jbOrMvcz1+RzBFgqJ0O/T9hp5NJZZbJjbJDYTdoEMRS9PEep1I0NUUMp3FzblXqGsrb8KmKOag
syG0dn29x6KHqGex+NAW294xEkTT3Kq1fHBItXNHidCWCs1akdoC4S9Fg0Xsbqu13COdJmx0aoW2
IOBz0gqnLHmYCTR5RVlD76jipgffn65YwQTCgwxaC7sNZVkz3q4lC3uRHlsIlzLXS0wJCTnL1E1O
wZ6q1ridxgr6KRvk7eqNsdEWNTcn+USz7tiT+qpr66CHf4sP5m52Z4PPrp14CDgJW9O8a3SeqFSp
cO6nE3RpTli27rbvnRfWkSlIzwou14mz1jl4y2fT4flV6x+u8XMj/gbVWBy0GNaK1VYemsvsZGy6
fXe/xBDkJPTAUHqCZ2vhCEo5Nl+XTyCVP9QEv2+wszIHeRUewid+vbjZ5qypmGMc29DlzcEK2s2k
uLk3HrwNicjdhREcHuaoBOn6hH+Ikz4Qvis26cluPwV4fi18OECw221Ikl1ET2OMej8na7IgZ8cs
81NOLlsgVgV56Ofk493965n1+zXekahrX09GnoscxfUl6xNffwLB/O1ngOfE8xg8tab97tusFV0R
BNSheBuXnY/94KLn/HFC/Wd8Pz+tfx7fb56eeyTJNOPfGYbwmz+nd8uE7B5yqj/T1t7I7s3/glQU
o/3PHLa/pne8zdM+J7NYMAwjlPOcm/ZzemdIZ2HYhujFkPPjAJf86Wn6Vwn7KKHN+iMu4a89B+YR
awO2JM9yieOcV/uve84u52ZYpVouFOLVwE4X0BfO0A+2SDerPTVuBqMabK5cZ35ECsG+ReJVDFeA
h+4MVpcUTuswbZh5nWU0Ms7Si1pDZ0JJAbvwuD65qbViIBtfFtoNkVdCndCK9MaeEB+CPiZHqJnd
bVo1dycs4KjM8vsxR4YSge268NmuHq2d05uvldL3S17vPKdC4lcfQpCU+EUO6qyEz72ocTyXwsz4
qjFQKOIMARyiUGS69KX0nDtYdb9Ws/GyzHkXeqmu4UvWijey/g5BfsahVz+NZJ5CEyZlvlRLw2cf
1FHugEhE7CbknjP8PxOauEnL+7yWVxbNImQDQJeiYZ/tJiiNM6QrZces2NLWvu4GerRF+rJCB6ab
S2rCA2j3FdSj8GlCA153Nk+t9Dlv3NvZTXNOyleNEBJ0idYVYhU0ZxMEDHM23EljtLiexrP4JxeI
GRCKdz6cCj3VN3U2QhnrQXgxMFIGtsj7iDSTx1fprEFdmGswpKUfGSMdQmfMkiqHlBmRD/E0GbA/
mMIKFZz/vNQONMuFC3G2NOxj31UFJCtQNFXMbHer0V/LQUHIZ0gST2rYusQsMEEibgwKITeZUl9X
901meNkx9SHbwzXS4tEq0hWPb14DZcNiOatiidBHvSJUJlH5fJGPfRXY9TB6xzGF2/lrD1P391pI
z4AGT/gJ2H1IaQdqXngE8q9h9acgs3SzaZ1FHuvVKu7Ywu77sVAJtKxfq0LVgYu292KBKzx0lLdA
RGUf066A5h7yHjEtGHZzH5qjzgictbIDWd1WeFPcpvIQbbPSYU76lSYZ0QA41tqJ5epKLnMkB45N
ScOx9w4mjKJBTeDnzbW8XaSANH9q92Un1CV87kPEpqW9zbr524Awv72HMLIADcJLa8IytTrIUit8
82QwmY6coMzVhgv1kD9OSQ9cJbF6Km462omLWXrNbWXpEe1BkQez095KNobjSCFxmVZorAo3URS5
dlNqlBAyTZKPUl8so58Ghg1jSl1JP3ILa9mPcDtvNNLHdqMmTyptgy5f7pl22sBuiOYSkESYOb7m
lnKMrWH4y1fEyy1IEejSsGBjE6tWVs+V7Q4JniOC9zq2q5ZcJbCsMYAh/llavbYppy6SzJBfkR5g
H2FHNuvTQD2f+8LQAZTf2K9IIoJ1nKlwhOvhaLAVhhKzwowOBfB/qtQPi9eZb/jnKvUjBP13fPn8
W39WKIKgUN+2HUR+ej5anV8qFAYpdo4rYrZFzlzCv/Dlc9Y/foRKhC4J1eg8bv2sUIgXhdcKkhZ4
BlCgPPffqVD2HxzNLxUKnjB4E3AXDHMX4k5/rVAYJpvGTrV54YplrJJihiC7Y111LFOB3TtcsXx9
SIcUfpFRxEsGC38B8XKdp2elcQx7AqIwKnXXj4hXsmV/RWcZ47UyyKbLAlqrra0G5F4gts54lFm2
S7NNzrILs/SzoywQ8AAhqI96s2IAHnCCIfzzu3AQraMniF+dlD16MIdHzDYwEi3j4yrrZLFs6E7d
+bJYRqgPMKvj52S/zgo7y7aP51A2hIuJ+8aYgCn35KVoh1eoZL8zjAuhnCr4eSx1UzO1BJVyHhdt
PPSrQzlw2hDyVRbMq39qqNZ7w6muqYkhXDXgtxTsOp5L8QfT4dVNJwd/cHjuZxMeBmmFpVUUHBmo
VoioFOxeaT+T6ourL3NEZfCBQGa79Akt/TxMvbEPF3vRDmzERNVIPsRME7Y2PEz9YI/+k1k4EDMW
qq+TvJlz8PpNlWAC7CIYRSY+OqqNSNovHNFhKoKNDWiB1tXWthCrGdCiB5CQLeNVrjsTH0z0VzPi
3+KpnTveegKPakiBW/YOtEZdicO7qeCR6egXufZI3wDoGzm9w7iUQxWNU448S18iucVP3Zh6i77C
2nR4OZUkLFHGcknlzhcrRJGVUxxTl0BV60/DLs9mL1Z9pnnj4CU4YWcBkTNyO43Nanq1fMkAWnWo
8VWaJRD0fpsx4iIh0gcONQubmx3MPghEk4lD6ItvIHpt6hAC1LRYqj0iOwSZhkC6pbhkdlZFQDMp
sHRdRL7ZOLEjbKSnzIMbsxyxEcr0Y4TL5LxDls2lt8pshycH5jJdmid2FrBauiBJShw8G2IQ3lgz
XGzw1MFY50GKUvdG861FFBaXQ4Hp+KxHHpnR7xdUc0hkpz5GRl0B8wfyM9uRighfngOlvfsK2Ty8
dzp/NQ3HjgeiDbQlGPNjaEtz3jPmfCM1gkbzFE3XUhcez+qeIqzBmZHOupgG7rKhYdlM4hv2HLKa
Sosky4pQ0igHpAc9mc3Uxp/dvnwVtdQQApvWFeIyuhDs0rAf05X0e7st4LJTt8IwsxCSC0yDtl9t
pOjuteFnAVlRNCVcj9GAYurOw6ORdQ94hTJk5/BdR3m9IpGlhrapJB5U+Lq8Nxt5WcKD9FX7K0Df
PMsPemIM6BQytWBYgJ8PUmIAnYFsvG7rT/QlF/PXiSByKGPIAPSN16UcB7gRi0cbJkLhIDWKLl5s
IwkvEHV/PkT8Ix4FXEH+q8Q+NSasi7Fmt4DXLzsz3yH11uNNL08ecZ4t6j/MwkDSaa8ux7VnW9b3
CZQsN2hx7oCSphFBHh86yz6aS6T3FWmhY9taUeMb5QDEbvZLNgQ9y68z0gPAz1Ko1eGM2LtkfVLI
nOFLYyWFzHeVl14wG2pnhaZRY67ATil63mCxnZOjGu40fvGtZE3zlVYj/Jj2jN7PmdD4d76zoxRZ
TA409OinYewbgDvVZGoianeXcjFu6DAscVlVxS5rIGxQaCOiSi8Mt2ScLZcjRYePMymVS3ZVmz7c
5dguV9N586wkTcP+fNGxdfOoTAs/JkB0rkXWtyGzBrDlcHzEQ0lBI7iYPlrH1NFa5gxbOxM4YTwd
K+RCI7KpQIyRVzuRvyLYi/buK/T/a1g561aP5QVpun1tlwd3UnVkL8SK7cUWkU1asN7OUGxyzyWx
SFMzdIhEijFV7hl94UWOEJ+0KKzYshWO+hJ3m9fYtdYC561o7IzTHKElusUpRbrUjBfoOa9cmLmS
fIY9ZCpNGhtlBclHrRbQX0h/bmrhcBxT/4Ip/zOQm+hM/rnVOT59f+mffm91zr/1s9XBSxCA6Niu
Y6I9QWQBZGI/qXR44F2IzNFgEPvcbuBHP6l07/zmBB9nG7DfH6Gnf7Y69L88iph0hl+ArxxG+X+n
1cH7rtDK/NLqsPNL3+HywjTuoQXATbxF3+CT0oM1mtlF6tfglxHrNg5uw4XuT/YoHtrK4K0a/XAt
9O48xMZNnQFLnxJimi+OMXfB4ruAKhdUG0/slfRTvvrlscln5N4ZxtUZQMVwwJCdU4t74uMox37z
I6don80Jvf/IINeZEJ9nzo9U1K9mWUUuwnk4Anm/Ul+EBti8e2DrJGlAp2T1kiLEDiMjblvC1AOo
CbFrMFVZj5OAOaorHDCVtjOEC9xkmFzT13kZXmzhUhg4CI2YLNsAtOeNrPIrlTXQvy/3hu4ESJVs
RtEExVoZ7s5FGmw40RxPwM81POLyG3PLZ/hzT7VLKGw9+IhTj0ZgaM1LQ9iAA9C/teu+lMUcl71L
QGFbl25ZXpJz/GFRiLNVFXEWAm1nTJ12hm9ieU6HEq5TcypggkTDsuauRgkqb+dZXxbTCvsIGZGD
YgvvsNT+zVDDP1ObV0Oz9JtSOHVo+Os+F/4uH9W+lfn/Y+9MuuO20mz7V2q9ObzQN4MaVADRR5AR
pNiIEyyKpNDjorlof/3boNO23GTW8rg8yUFKNCURcfHd852zj+rDxOPglP0+0kioRYJwLQFl7pMd
TDyFCTPwYnV+aOEe7jySu+uOSDysdGkcXN1ON142viv9RBy3jzVfLVUA2kXqcni5CrA642TX2r42
3Qp+cxheJ6UUzEvS20wR8jaoK2+J4dh+2ZXxVdjKVjR4nhKHrVL9MqnVvG0joyCAHbMtjpyExZy5
ccqmBtrYT+Siwo2M6nntOKWzYlH1BssST5vDIjVXAKXkJWr1WIQvuTPsbU7tc0KMMOA/OvFSTwic
l2OgAr1KQk2u+9JuD7pe37GJjQNH78cgHS0eyM6xbtTWNHYN0XY/6uY3cujGqmo79mWKCQExKz2/
C4WzS1IdR9nknjnrvcAd7Y+m6sW64UJdDnLh1/Aos2Qdg6hP8k0VYRTRFPueCfaldzKiUCw1V63r
5DuJpOG30XCvTGG7h6f2Bp62ZLYJGdGiEtB61/MYe84FFCGqi5mbO6Wwvnqp/o3149ZRRgIaI9fX
gihKpLj1yhzKYI7rb5NnctMdiFcHZevZV+D60jxoMyYXNmYWK+RxgWcaw0c+xU9jxGdez8C+5l2H
N88ZN5MhjYszFF+HskJlcxNiDq3s0P+nx5EFOKtK6N1km1fu4GUBeavJzzLx5IpuAN8K/i4RAOQb
3vRaHNkgchisaxfRbLLKL7MIbxu7OnWj1wadKL8nsr7XjXhf6u6xdwlzyvQIcGers8mOFVLfKcB/
MfGKY0omvNeYd6qwe+aXut/Uo3Z0DWwYbGf3wol0nOz8wb1o1w7mkTH1uw0KtM2wygrHXIuwmA5C
mV71ZetSa9Ja1aMcVsnU2wfoDRt3jMawgzEr5VOJiiLQWSr0rFhpxL1B+u+R3fKAVUAHQGCrbd/s
jMS1XqJMWAfZQvi65FEeuXtZK+ZLGNk6+ByLzonCy2QAMOgJtBiBuVHn0QgZI0Kel50pSPsMKR7l
gedubVVs4RcaQmd28CQKfYVvZxfb8xKMg3Q+JFG58kR4def5diw7iel4nn16Li456ZeHTuOEK6qE
4ynL9XUXpd+jxrk2NlQ6ZbBQYtpql09Z7juVc4fpggV//1hbYt7wKd66YfOI2sVNQJ0vnpkcu4xs
UFWpr9oCFBHlcJsOxZ02aLkvZdju6lxJeNbCW0DPuj/JLFspUYrMyWie7UvB5rY1yldH9NyE9a7x
yQSckiz9prsDp8H4bXT0TVlP1Wp2QRSYUF4xyKBwKtkXdTyVGHmKbOfCmSznLevPrdK7t5FmJZt+
Sr/bRnyYC8mG29DB1iZrjQ3KSnNJNOY9YqdTDPfFbECdCjn9mqKINqUB52GasD9yMV1LMWITNYst
JDzNLwbAKbpd3yWp5QU5kltYMW62auJzucL+RT1DHes3JjSEwIqUDbG81ofD/ZjZpF+L+kaxw9IX
qv2Uuv1bOtgwjcf8OFQjNIhRHsNqfrJqUldIhZMloORK+1CFKLFdWiE+q/uqdV+w1yVbQxVoBYqA
1kDtSGkkkFy4cZcToS+8Io6XcQvUzQ+795rNMHPYGq48pgWscPo1bH7juGns5mBKF4hFElPV0Dh7
z3Y4nyn2yHoi90pyDxXute5gHHAfzuR06oXymBn8qFW3XjedkBw3/abQoo/U83bWIMjz86th5X6X
ffpetdqx0OPt5xj1f32eXHqy/tM8+T856533Pw2UP3/ZLwMl2x0Tfj0uS2aET6nrt4GSah4QEKZq
fCpnOru53wZKaG/sF/F0aigCyy/9op05PzGEgj+3liqvvwtVgv/4x4GSSg3dxhnqsEZSeZR+P1CW
mhEWPPfdrQD0enBzzzw35Xh0y5wsbNc82kUR1BgWdyXz4vwRk5LmWsbqYapnKGfamF+9uCpXMpuu
MjIPoi3Eps5BeWgzz7+Taco2yXHAmFW8ibIeI2XN2juqQq54QxuhCfU1tjanyrv7Kaq+MrtRkWKT
zHdAwkIV0Vvz0I/KfLCqkji8P0G9OHR5Fkx6qOyk0nyPvHKGUa+G20kT0LK1zNvnOAoeK2b2I00q
2dk1SmDQyX3VGTGlIQV2okpzE1boJO2d3sN1ZcxGkOfIIVy74Udq3jFzAMTVkeZbUpdQBaob16I+
pzeEt+lz1D4llDBm45Kg2NDeaG3rof7XX5shOk3gAGKV8abVz+gwx2GWaCwphLkENuYqdV2fVxRB
Zk/Xwakpcs03i76Hg7BfpjnFMVVbNecMtHTfjVtt5zXdXZwZ927K6mZfMefKa6LRk2TVlV8iBux4
6bflvS1Vr1nFHXnkleGE5tbQhj5dWaH1PQu7YZ9MotviAsmCuSgvU9reMNgeSlbMtaofXalsRDsc
lMIOxBxtWkpZ1HT2raR6Ryq4693x2z+Hh7o0d5l8lP79ZRSaJFw2P3/9qxvp8qU/HCA6QEkU2cWS
7y3gk19vpLQiqyDLuFYiteuLVeO3A4TThounhfy+iPY/iO/2T9ifDB2Wm/q58f9b6+G/oKbhHUf+
52yzKBChEOT3B4ijRRo1MZa4Ba9K94scAUgO07QeEZvZEUUaHIVskxvTvixKvVp5Zfy18JxD0Scb
aNNbkSN2dTXeTeV2VlC0zGLy89QRpzxxxC3VXY+Taj5D61cDt112nnxW8Bd+sZvwNmWBvKqyCMSE
SB1uh8a8oF/TSgVyxgwVuNagAoBVb+Y46QNWT/0WAHqOf9MtV6UqKbPRoCylDQ7SaAo0N1rPoUhW
nmqJXWcPXNaw547TwvTgY4kPrgVPAKU/6Hv1AY9h4KTTetAJ8UvPBICgMkpbjfVm8/f0K0qAWMOC
C0bIEvilB6T1Mn3z2Fuvp5DRmzqdjNt7vJ9LM9znVYqHGVi9KBV1q0LKOFqWMpwAW+MN7wvC4bj3
khoCowJV3W/gn7H59a1F/BtmcyPtjhL6GrUxqx9sJ7qtao16KWPAuJrUG6MOO2YBCspKBU7EYKq1
j0d+WmV1d64q7tnZJLjR9kCHGm7Upf5YpP2dh+QGJiC1VlhUd45Rcz3IkvdeM85ROd/MetH7HZci
pqKG2jLFDzuO4Szh5hC7KSqy7vkkhn1lBggpshDgmki5t0H0xfBq71NpX7OQijBkiSHQ52hdm4W7
GRTxVuv4A3W1vdENpPyam6lanIoiudXy7mgYkNXIzhzrnmcm7NpLndhy5Wb806j91K3NBUBXRn6b
dtu6Ns6OFdOC5AnFr/sUGL0GB6NStvCZL9ko2vMMDJWfXtL4nWvf8do8e5Bs1s1EZtAsTOAYGRcc
Q0Alz03ZrtNM5b4LL7yN2i+jN8abPi3PkRm+THU/bXLF3UatYQeWVB/NGlqqwU1Py9NgqiWs9SS6
MnaftBFoSjTe1K333thDFRR9y79ha++jmgsd9vuT7Nrb5PPVKz5fwwD0s53Dq9nLqkd2DvQYzP2x
TWbzXELoOaTS+yoy9U5azbtbTX7DMV5xnEdI7xXHu8cx33DcC479RIjDyGugFPkFZn4WgG3p0Dh5
V9i8NGZb6bAvDgadVJ8vFbPs53vdns9R3bRbDfzUhv3yuBoMm+9rbqu82Q7O3C7IOYR949JYX1tk
eoBo3kPpUfSUAjzQF3urtPZDbKyiar50s74L+4TGOau7ctgh18hA1y34UgmhybAOL0Yr6fMzCBkw
OYsuuaNHZbGX3M8VMQq7QYuOmRhWOoZ7flxOufUizdiAa0o2BqFIgEHRcgHiWNJjl2QEWwOl48kp
Ky1dlUznq4JIqDsqz45ZfheN+k7nXEYTSP5I2d3J0pjhR+T7wFpa9NQGp7WTVt9AXoUnLyMaMhI8
mFT1UoiCD4NTa7eoxx/GDI6buMhH1wK6KezxjpUZEMSyf4Hpt6lN9XlKnLOb4w7FfhkUI58X12xN
NOvoqRy9LsBtsqncaduHIlCr5uIl+VFF+JnbqvetOrzhFox52M52opy8A7DdB7cLA74zCDbP/KKp
lg6XTbCBgE+0rsZ0XNeKfh75GFzoBbxjdNiNuZn4ZQ4SxMmZgpaOs0RwUbMcCe0R4rTMWtOnE+I1
rqvMlxOsEjuHr+0KRrC3hAsqZv27jH8T3gOar0dlvpK5e8Ghs8G9yU+xB4hThRDz+nmAgtun27iG
yJikOZEXqbwT4lm7bgbUz4oOuRXdxClsWrB8/dFUtHLND3TaWYCNRgzuWlGRPRCJFnQuutiI2xLX
dLQfxeiHSpC5xjFmY4wjxnlR2znZcxzjejYpfTTHjRKjZSTh1p6nxo9iu0MmgVvoRe0byLbEV8DX
NJYzr/q6JrcJiAok6H1njSdTbVNsEzVTFGd9Vt0Mosr3lTbcRnK8UyexBok2bSzbOYra2ymAS4Ef
Tt1m6PSPzMPJ0TrOtYiddD3ns/FzfO//+mXMIkP2n+Yplm6yYaASrfzTjeznr/1hoFoMCRC1F5wc
N5/fDVRcuEjSQbpdnA4/DFTuT9oi+2NZ0ImwAfb+8UaGy4EyNt3G/G3jSv07Ej8D3J9vZGDDF+eE
zZ/gs5b1R4nfKxxs+rh+b/MewlfI2S3UQz5q5qGc6fLxU7t4QGJDQBmVk1vSrZRaRAMGXEcxY8NK
k+mXMZLHzB3vezSZKeR0I5uARjoQmaDu4uAl8nEgC+8Uxt5Ce8KEJpD92lvUrAPhG9sfi3qfzPmw
KqArDmHE+OF447YxjO9g+JDFPy8GSQYlEJbNuskUrAIubLM0dX2TbfbKa+Ovk41U0ubmtPZA9wZq
U30xbRiaIG50LAMR8YQZ3AZUaRMBz2/K8Cn3NMw+xCOatg2sZPhmw/BOQwhnlua81amT+L2dPNt0
SLAaowJ15FNfs2amKeXZjsyt61Rs4gYDiwawcaOFF2b3Ftksd9eOvDEns28oGBm/TSL8VoDkVEVc
8zGWXxO2HYwT2TbLRvJVUbnRxqGhB00RKzeq3iPVtIJRK58rFvUrXgFGEGJbtBf/IrLla1JZcJ6s
BLiYpdObuNgdF9+j3jpNYFL0g3XCBD+7+COHITtqVt1/dWkf5V1BLy/yWo/ty0kgmjlik0+G6sPN
ptQljlWyFnifusUFNS1+qGxxRrmLRypc3FKSp3nFaiNewy2ifkAFeFqqbXJMVAG0wxskeYB+fgTU
HQdCXcDBbU6Qyy6czTxk2VfR9PohcUhs9G1R3LWNVl9iGnj3LrvnEyOsEfRTLg6obU23UkwzPWE2
qJZ+mfHUNTMvjLlQw2+jmyguhQhKjUisXrGVaeuY9NMDtg5m75B1xYuCb+a76ebdulguv1Cdu3XG
fZh4CGuT5YqMU4znpiFwzO2ZpBz/6sO65lbdcrtWl2u2Unc3zXLxDpcruAP8adUt13ImPMj13NTN
5cpeE8xLuVeva27zFBPh4lwu+OVy1UeIQ4Q3My0QixDgLJKA+FQH9OTe+VkuQDgQi4SQLWKCR73R
3hY5AsMiNSguokOL+jAuMgTtN2TEECb+uRx/Xo6XHP6/vxyfP5q3j/c/b2qXr/r1GMeUtnQsWNic
gRg4/NKv92LtJ93ECuaxwv3X5fe3ezFrWN2hHR2E6M9X5l+ENTa1SHEOd2PD/LmC4e/YpvVlE/uH
Ta2DdxsimcdDTcPm7+/FhqIPmqyz7FZTTdkwcScV3qm+MBW2L7RXrgu7Yfbs6rS+ak4WdOSLsfvv
SPyrYbotlxUdyZVUuo9U+NBxlvRfNMNsjuoId/g5XFR7W+LpnAhE+1SHIOkvaNS0kLtKt0gbIfyL
bLodlbxfYcd7DbHk+VaTHSuWBXS7kJphfTCyRqiWfULnjo+sVt9t5rjKEPwHjLnaRaO1oagM41Lr
IfCl33vR6OsiLeyVXHYXFY67h5B1Bnag2ZfqRDZy1G4xrV6HIiVRs2xBomUfMjburrcr/FkZH1tb
/2ouu5NB8Onvl32KAACy9pYdC3VuJG2JDEPjC1mP1PFzx80sKK0q20bL/XGuVG1jkHJk74fVhp4l
Ge8ApUcqTiOc8Sv6JkhS50q+4/DEamKm1rbVNKbmuozuHOmMT3bf4H9ycMS1Y2LdJqzw/UhLtBtO
qkM9mvolLgVlUy1ynV0T02nIFm5iQa8ONQ98az11n0KvljvewWwl4sWs1mvjSo5Z2B5SfOJX3g/G
0a0ak7nfm9qIP0NZJwfTUWxt72U45zf6kFHDiU76TasNM8BxvXLqND3HfYdd12XhDvwypvmYd+S8
Ua3iatIAPNCOJMYVbvEPtvtPdZudhMrat3CGbc5Wx0c/Pjeecm6J+a7iIgmsKr8b4/JQ6c1XXclO
6UBcu9aLL0aEm17G7pvJ8kSPnBs8P+ypYulk7MKnRF8bRm/QZm3F6XzWLBVFEF9dtmgVhtmH+wz5
oisWXPiiaIyIzetijt7mT7UDlwz7eBQQsWgh1qKKmMgjQFeZnYlh+eOinRjxuO4WMaWYHqJFXZlk
aQUYOVN/WrQX/Ig3clFj3EWXYXuWsPCImNj5nYt2EyPiOBPdRJm6uCEsD0TFovVMi+qjIv84iw6U
NWyR6XBtD6oqj3Yy9r602LolOcUhaqG/2CPI93AS94MzogFNg+eHZetQcckyid0hspAJPMxxPoow
es+Fm/t8unyZAmlJlfRC8SQX2F5fa2rn+F07QYzUGu6WYvA2Lo++qplRUKoovUFoSe61SiRmdprI
XdmhbKX48s/742dxFUHz378/7gWxjL+4Bix0pF/fH2xf8CqSnHEZ+D/F01/fH7Tx8BYgemOoLG+w
J/+qq7o/uRbvFjhL2iJ4Lv/BX94fxG4cbDmsbHjCPZY2f+caYH62rP72/iBNxqMEall3uWsYZFb/
kCVFaIJ3r6bqLW6lJt5YLloXWaDurUk5ME0IEmoRZjtWEKWfat5jKCk8DxvCK5blfJNFfs821UM7
04NOSlLAVfINTP2+7etTpqQw7HFYrpK6hyLQS8BR2gtPPSeUPrTHoq73NLPDXk9uaZzcF7F3ZsRd
aQ2zVxfCSe0n5lHIHrsy4Ro70LCO81cOtvCFMl8yyA8LmPxON+RXD04s0355nTJFWwnij0qMxBb2
JPRICG0iYPB5+pwn0wt9kVTwWCkDKBzNpm59rbCOZCjydToT+hSCbUpl3sYoXcuH6Thb1U1fdke3
Dd8rj+ww86U+2dnVHLlQRGV4HkxmyUhXvg6NtW5dXXtt6BgkwOMGc9s8Jrr6HjnEMoeKKkLkjAf4
G+/d0rFDYGOXZe55yqN4rfF3CNXsnMzVa5vCaO/DLFkPLKb9WK+tbWmF+3DkJtG4XM+q8LbthpfC
ptg9c/TT6NZbaZJF94qC3BDFRS4vgzq0bjOd420BWHSDxlVopprC9jbdYJ0JIm1V6fZ+66bXslDx
aZcjkfT5NBDjWQ9h9ZzElgF6AD229rLHup0cCuXlszUPR8JUDd6w4rtwm7OuGdEpzqIbLzbjoJQ2
bQgc8dCpdm3Itqitoy963uwBobDTc6R3GOwOiIEdv5eRcx+F0xYr9UiBe3GYlq72zlA+RsrbZ0rc
7VQ+8f+xIEQjMXsXZW1pfI9TeSk/O+Apg7dPYmmG9yhwtfk8BTincfZQH19o9Y4JfWv3Na2hS8M8
v5Hi3npdCYj96tJCDybqXuubbUo9vTlpqHr01VeudWwJCvtSQC8uKbXvlnZ7XoQbc+m7n/GdTzFG
KhMvq5/NzbnycjgXxUJLpQhQj8Qxs0yyzkAqMoIoZjYc0hjSa9xAYqIbSTXDo5wtsIBu4kxvXSSa
pxigXxDjw3FXNi7gO31xSEOLaArlqlZefYeblMIqzBcbaaibTIkx8evh9ywaP0LLU3GY5z6Nj87B
KcfH1m6+yQwwQCXE1YmIB8XZVUNLciGI+CSVgmp0iOs4PYkvlfseMF0w4iZ/uWpdOw7X2zHdgQw2
13FoDhi5nNlPucBxKS8CvBIbw55eeSEH9Ti+uCH8bG964AcNTSJV9lOinFgcbuNM2Zco5Xam+VGa
U3MR7sj9wwXBID66FRT1+WBU8kmrmwCzWxToUI974AQrI4GGndSIgRnclNHZDh6hrqrgB/Iom3Q7
jR1z5eD3RbdPKFRdZZBNJkgkceI9FynI5raJT33FpX+uE28zFna3wgu+82oVQ6P3hjWIDwEFDCNd
ohlWLqOazoTJ9kOzJHp1rOA4bPnZ0sSidLuubfCE9bfgTII2Nb+oSVTwHm9Oc+bYWJPLtYn9idkB
xwwu+g1ZonurCz9qu+Xp7Iu99CLXbyl70CJn5JZp7UyjwNiFuh6DSUgTi3ZKIuax2Z0HpzwyPZcM
tMRMIheGO5EGG0IJTdPNpG49p7vQ5/Wk6tU+RHK0e9VZA2ng/BtLbIq2uDMoB/CTubk1VegzUbpb
pBNG/ZvQnr/UzE400lxDnfLWumcKxRY2elMwz/rGtpu1oWj0eUJ2aDG2cwobG8+SR7WcN25p9r5H
M2pdqd+gpdJAoncv+J/wLQFR2tMMdNHIMVZRdNVm9+S5E+LDrCQbG6SICiGFJADjVBWlazwqHlgW
qyMUMF6MXNlk+XTRPfc7VvNNCYi7teW6bVxlA7oB2Ab9bpOsLtJxH8aEwpfCsmj6LCxvPVIg/JyR
1aEOqP+ett0xHtXHvCvZAYlT7GHl7prkjmVAoCfNdyuitqLTqhtYJxtKZh8yTacdoM8eOYHXbWld
GwXlKlK9r4rdPI31eByKuFq1VEWjLS3Nq3Q2ozPFo3UbDdHRlMt2ypz2Ye1xOdHCejJ3eNOzR3z2
QxbQ66Rt4LuQBxzdda4me92CjFQNBRqEiN9N0NDB1IuRIhHt1cPTpTUgDhgXoiCCNj6ye1yFRv3d
kX3mezI7y8ThuJzGMohF8iRSHd+RfmdmDIq9MOH7t2+Wqwcs7VHtp9vWpuVN5/xq6F5ZlVb5ME7K
I36kLwgXGW59I6hylkLuNNz2GVgBuiTu57Jikdal3bWReAatnL4ks1RJ2LEzJNynkdf935L4f7re
OthPHILLFq5mlXzy76+3be1S+OoZ3q12X6yeuSNeap9Lju+9frlrz+KQrIUvd8nJ2lLNtAOXcrCi
Hbea7T8D7ueAa6A9/4cBly7K86v8+KtoOV/4w4yLdcC0EbNNl1GWX/p1xtV/In2nMa96BkOwynj5
m0aCsxyNBPc7ovvvwHAOKji5aRWhGwFF/XtguN+zDZZguQsQzqVSjufI0VWE+B+FbgakDoAHD7Iq
Lk1krinNCH74R/lXmP2/yq64ALmS7X//P/5+P2gwywyNHm/znfgbIt2biPY/fgeyN5nROfRXtWaK
uvmoqLeedW3NnRZehv6m1db/+fthv/pfvuPyJ/qBjqGPbpNQydbdImNiuqUHlsVWK5CDRSTa69AI
99BLhlY7s8JVazM9EYarQ5pO1rKQDvH20n5hAajvMUsuSDDWjVorjJXhxieLTWS5rCQrdpO9kn33
2FWW7CzFsrx0BOnsNKKuCNehtTKWJWezrDuLZfFpsgFtl1Uo1wNjE1WJ2IYcS36yrEydZXlKU2VD
3jyhmtH1K/arbt8fwZIz5yfwzNjA4jdgaxsyEtRsZ82Jbac9XMOQPUGoGDswc5eefa5OeUapLv54
Nr0owMu4+NAsK+C+fOnZCI9shvtlRazJdgt2ZmtW7iFelsixLYaNUrFYxmh9pm5hvnc4GxcwxWJu
EovPycbwlC7Op/rTBDVXJv9HVzSjuM0j8yRVbdEwZl7dtKwFRWfU3zLVPdk26SazOFVOsh8z+kW9
8EZRs5tptp9IkZNRI8yM2ZKNsZ68Iei95+T01oNlnsfKPFBPHfRZdZLhwDtp2k9GclFB4pVhHSTj
dAIWcGL9KAKJEA72ZTi2vfpUd/raNMWSTJwfrJygD7bm7CbpykuZyS2z0U02ZwcVRRAwDIi4TJKG
rEfcKW1P0NmEOceY+1DLqUFiUKONXlTdvusGyYpeb69uUk+nfBK00Lj6MS/ePWW4NWP3ru0arLU0
vVIxDJW9Kg5hnly6Urkf+nITK/xYxJJUSjxst/LdiZmDNTu96tGw9roClXvUAnZegZni7OsEgjy7
Zpt5bGj6DcNxwKhDGY2Kq1zwCjIvRVgTLxl5h8s86+/GKb6zQ23fDF3gVu4z7zx/dKzmCy0Zho+v
53tp9DxNHjEFyrvmEHAAlxwt6z9UXtVlZwe1qaU+J9geOBRik5GsbWXgrR1d0HXOJlSg2iq2o2qt
SZL43Rge21bsGqakdpaB1So3WDwDfVD2HBTXicUVYRa1XRkm9jrPeDSxA+t8Qsht8j4urXzaQeLK
903Ouj2BRW1MyiFr5y9thZ14yuVNgrc8JUeSpj2PNdAEVs76q9elr6njnkWdo4KlNIwPbTNhxR/g
DIS9u/s8Zv5Z8S7H6X9+6a0+mvK1eU/Kv3rz8dW/vPk08yfNWMLlHo6Qz9LkX998tDC7KkeQqdJ1
+nPN6S9vPotfwXVLwQKhrc9N7q/qjvEThBbYYfjwkI2WYNjf2A7Qo/m79wRxI40UGQ4AizcwrZ5/
fPd5kDO59BjxjZIx/Vl9IelAnIy93U/1CxtBUh+ylg22lklxHNxTM9yUcKjblN1vlhJf5DJxU0IA
DUAQRmALcYr313Fw6fvpNFNbsIxjPXc6Knif6pzYBoiLMYBRFoIPdbR63hO6bqJ2Kyslj+9dSbii
sSQ6bqk45KXoYk6/FCLvH0CCpDqWMnW6jzUX7VWnRHpTQRedhczbHSor7YxW5zyWWk+se0ol3tuC
+qGVYVXz5Jsl70QcFVwOMsbyi5H11VejqNOvilVxTnuapCCrz0MAHlrkrnI3Tc4zM2bnF+FcRL6b
2KHvCX1fRmrhk9DszqriFDeOXfZ3BToF3vdMN/3EKfsddhwL00ftvuhI2TNjuCewcTSdTbeOm9C0
lMLmvlPwrcz+LItkR3Rgfit0Zbnbm7xn/EmtLYrEYC2mgCpMo8vE3u0NubUafiAtB77Sf5VJo2nE
slEazFTr4nJNKD6c7fWs48bi2jwY8+ztuFHy26aqibYOdsVr2/Tpi+GV7dVzWodEmK15q7w14y/F
0tlkcNZchMK/5qVUol5dR61K8iAKBSbJWNc6crqJnn7N8lbHc9ZhdMYgwyVlKNUk36mfZFfFXSiv
NdrzeCicxBw+7MGNPpjXnS0riXCTJzEU2WQByrYKSadCaRwcM0n7HBta1dwu70LfBh3yz8n1Oa4v
8/O/P7n81/y1J3vackCVNHpPv1XHL1/4y6FFwlSFaYb3BIM///OjM0X9yaOT+F9jt4W4/Ou47lId
zxepNutMNOtlEfqLJM1JR7M6Bx2EMm8JEvydQwsB/A+HlgVPCmcM30k1dYoA/zCwlxEDYd671Eiq
ebSronAbE2dbNTAbO6efMLTr7WnsgGoa6mxsvbG70JI0A44pvjWmDkVTgQkzxdbaM5hSo8E2VqkZ
wxOOWZClyqAHMRgC9l9LB+wwFpcaVkdsoXxzJMJfV+ejGxqnxjJ3roCDainxlizSU0hY0oczc56b
CSM9Ea0dHWiHqCDgnpnWYXYB7EWmc2Zh+xBZOAxk4l49rgdB2SRXqTavumWWFLNFj32B53BIYuLX
I+45gjdnu3SexjBDjDaMZy8XTzZ9Ul6mnQYHLccqztIFn9kM8UPZwCpVtILoK51ss3lXlulGixQY
R6Mf1dFGov35bVMxhYpnXlI3Rlykq9gat/3I5oqH4hXHHK0AI3gHxZFr6nDjFSmLHDLUaFMiUk84
5EpWAH3PhJEWt1AtsTREjN8LS3McupshZ3cY4dXdYmvZpHZ9N2Zs0iz8rr6izxcjtN90WQE0mjaD
qxEwjMrLaNqbCUZrohdMSU57sTvnIa5DCrXM6dlOSHQkg1WBOcHmnJeJ2BjJ1Aal7mxlM1+bsXQ2
jJuHUcs/wCDVtGbpD3bc4FLO9dC3hXeb9o5OobazG93oviaWtbexlqqUt9kTxiZWIZvE6cXCDVsn
ck7X0pD9tunc59jGu9HVpb7KRbLVCkS3rBBviHoiSOWE57PW6ONEW1QjGhOmHSnBdFUU6bemMT7I
U38MQo12UW3eRDYOwZ5WuUnti3U65eajAb0kUCfQz85Cly3rQ2HZ+9zSzhYt3o0bZRtsrthqRszt
emRPW7erAAOXVifXQ69ck2p49+ZsaHz2mqmvNvV2rkFoObI+mEqt+7VZ7TybGVoABl5BM3bp8IZ5
qkQ0uzbja4ZHE6tOgHYL0oHrA48uz5H3JFi9+nEt+3tm4RogVDSuM6ebeBBix9fmTltLXOO8Z/M7
r48CQoxcFRMimp59CvtWQ5ykGpCibD4XDpYbN63YnC9VwnjP1A0x6NxXk7k7TjrraiV+M6LBvMqw
uHMbqCqjbTSE3Pi7xHIYcHB36xY/LJLbfCsEnxRoBbzl4+oSOtYpLlQ1qP4/e2fSHDeSbem/0vb2
kMExw6y7FzGPDJLBURsYKVGY5xm/vj+nSkqSqVR2PqvFW9SuZJUMxAC4+733nO+opIRYEV8glWzT
iF2dX4WGQTZ15VzS2fa2g5VfDLJo7BqkyFr+1agh8JRj9JQaaUGyXh0vlEGJF2A32NfMknjqksDN
YFLW+jiPps+ar3/tqkMUkW/YL8O8HOelx23Qpd7TOE1EPo/l0ZtAL2e6cqZ822QCY/hYBneKH7/E
LY+MluXc2zK+0y23KUE31H6yxkuSmzLzvrld3s/9gfsOI/fayDN/aYDWISSIXbHzy+ygaIN5FFl6
o4RYCYeObquDL3tpu5NH5menMCnzXpHPUsrRHbsqdhgeQ/xI3PAcVNzNpoE/okqiAM0Xv/jgYSCN
x+kq9woLAxXGvzqFi1aMyrWO8GqhcqVZAGlrpnRWP0et7a06wBWLvGyMDTKxoTNgeYy8FmXvFVn1
+ySvz6qnktUe5hB+up3HhHPJyYQJd51DA0b0J6qH2DXrfmnBnYnmdRvt2xZRxrzp9FRbhb2HwTkK
a9RqfmB8D3/5TzUjcwj/+kzwiLHlz8cB+Tc/jwOCnV2F4ChcwcTZ5KTwpntnaLThVEoRyhipi/pR
wxD4wF7F0Jq+LLLu9xNqnbLDYpzs0nmj/fZPjgNsRh+PA7ajclLhaKGDVCbc4X2vi0ZFlBGfQKh5
4zHNgDiHnuim0SDSRBJGN0HUuQk7kZy0Jk3PtYTWAbBgSjN5Yi7QQfs4oxsc8/qFzimGlYxu9WhH
KOYtpBkSikdm6rMrMXm5BObFEp0HXxkeRApC0sXqf2PUHcxcYIZN5i46jrWn1C/h2vTofBjiZOsW
F+XS70C2IAC6TalENgmTGoBFsI3MdquPDhC+FtCchAFaEguYSEAg7dTPimr1Gxd2YCYhgqXECQYS
LNhIxKASk6Ap+ApOhAt5cOoad8PIRk4aNNRRqQvlq7AxJvs6kREZy4bv2w8553vMkFEyo7F5aMtx
HbsMp01BpEDeUuSY7NRBsVNbg5XeV5ea3+3iStmjYL3j2zzmLA7Q6olOzS1GpFkcfDY7gzGfO8xI
UL73CXyozCxZFoFPX84Pzw3rK6uYgtA3wzJh+RAep67cKFb6gvongQtm7Sy6XrNmylDuQsBYNYoJ
5czrgUeZ0yM/dDR3reKcK96FkYzPzkScg+SmGYX+1RvrS6XOugMqTjp1DRCnkmhUfXKT2eRNF2bO
T9oUw6Ic+8s41Z81vbpHdvpF8QrygANWrGQ4WT1iYbuAmi58ejScBrd0jkm6hCS5ANp2QgfYzLVU
DmyYJw8pg2bCr2amCB4Lf7oyDAO2IvArZZggJr9C1D2sABYkOOekj2qkP8t5xri1GyAgZEns8XYB
bKxEBUPKrNjjbPNFYYIctg5Z98rIMIximchf86h2ya6jaTWzTRZw0iEOoMNYyZEozTxVUG2buMBH
M146JZGzOD2068o0u3nnVLhR/BgrU2GQPh2OyzBF85ZHLmR06jYrnviSw9rbEoFHMhXHNJxZjj0n
E3uj+8V1kkHH6EJjOzhujdstVW+ygJxx3PegpUFOVCZB7cjZ04Xm9UiIUWjpo/cyjqCdAK5uY9O8
qRqPcjhr5rTE58BsLoyaRlcP/XSW9tAk7MTaKmz5J7vBf0sbu5kDk7SYaBnnLia5wGvMgxpyznVx
mMxVgCtV0oY7MeZ7kBfgRfKQX6khA1J/qIV3UnofnzuMCqMP101ZhczD0ooWNORrn4gGp0yeg8RE
xFzwqPOYFIVNXAJJ60VQ70ByFttY4ZzEtEucUBBLsbUSXEdh6e8yw4Fl6XgXXYk2O3ItRvruBGap
4z5Hm4fYZbgaRY0YC6fKrhwnhzG85m1UtsmlU+fGevQ9d6GSUr0tymzvB0xmR7/Vd7XlT7sywrVs
5OS352VxZSlY9qd43NF+fSiUVL/UIo7zrH7xVgkNdx7guFJ0eVrwiWeMisfSjvxvdYY9K+AxvrKj
6IWo2YZjuqs31ew/NfVrTS1d73+9fx4xfLxUL+Of91D5dz/3UPUTVbFr67JCZlxDi/DnHio+uRTG
tLIsRkTMs/7YQ61PrgCtYNv6d8f+j3ra/IRazAWXDXCSFiAX+gdNQDCYHzdQ7PayMHdQHKtodxGT
vR0WpUVi5CM2kItUn7pVoXoG2nz70UbZmNvtPbCJ23i68sZuTXmz1Ernqm38Wy+Z4vkIWWBegB4u
s/FoHSJf+aL38S08XX0hdKm8qLJnq2kaulA+xqdoo/pZz1QnX5mi8uZBR0OdkdxnJeuKZ9FkIZT7
pF9GRuhBNIo2fVhZG8+vdlkfoHvQg/vUzA88+o+T0kACcqp5jxOMZiT+f/2pssQDJ2BtbjXDEdJE
Ph+DOF8UpTxJwm8xCam8x7nwOYSlscdw5y1Fb1qY2aLbuE0+q6M9bY2UdDEgiSvLmTZTqX2mHLpw
M5JHLfvsVmsWymXpQu1nvbttg/ARs8GmV/P7ulL8na0VCxeDWpp1FyJCzE8O4zCGF0Y7zcsRCjMu
2q950eDSyoDcWP2FG/b6LA+1rZGvIpyfkAfmmnaWEH57VTTxY6kh6OItrut6knrnbgHTj1R5BHnz
ONKcW8/wZrlZ1wibXRkMDgbRUw5WmvfIcugeeGG77PPoumDHwo48rQxGVnNKDA4KyddKCfpFo9Xo
Vyt1XVHpQypsL0fH3SD8s2aq12XrINNfmjA0dknG9RJQRKaPTc2untVpDBe1ah0CZ1rkdcQRwHMl
JelAkgjR5u5FyvDQiiBcwuQ59H5AYIoN+xO+ZWMM5DupTEoy2Jo0C+RG2TPTSGKjnCV2TYR2iLYt
tHH6jSHymiaFMNPYT2ahbIFFNau21lDEIbPWtPGqt616bguyUUr9yyiD1I0yus5EGi0Cfjml0G9N
YC1lmoCeti3nUCJdSZz8WETDZ0QKd0FdPxel0y8wj3uLybKgX8HlnI8V7JY4araUOdTHnG3asJL0
GaRfYZBeefCgaNIMm1Q0+aryITNNDCVnNGx1jVqcscw3fo99XhQnAx1lbKlrgNbqPA3SWdFR84+J
fkZc+Jmkr30j+mNO+3Y2NdkOktJBTXOGT4zGErWgA+w8R7W/dQN/bRlaAqSrvulrSZVQbsPc2qpZ
vmvJYcgtaxur/klRs89ZndxaMSfSZMKFrYOubPNj28VAJePhKkm79eCFB4NpVzb1m8LNt6IyVia6
lNIPdr6hUjiP+r4g9aWv1Us1MJJVO1ULz28eepsRcW1Mq7BqTkUrMeKTvatc7Rpewz4OO6a+I/34
BPlV1BE+o1ZHv7BPYEe/1CFqQcfXznVe3/twD70hOtKIowU+XmdqwiiShz5OgpXVh/d+bK9NP9+k
VuhsYUMh2EMeFNrNUYcLiWZQR5bub5HGXqVK59EfKOdBW207V33A9p7MHZUWlqu1131gYhjq4LDb
nNUYXj/QkN7YbUeVi+OXsxsjtQwuuvV5cjBKKYjT3Z6GdfeYVe2mNtVvU81oDtbicqq9h1AFkzKz
JyVLrzVar/PE6RONYwXKvXHQ9R0zXzK4rGSPbvBguPF2aFpEfTiCgiA4GV2y9/yxn0W5f+w9YGWh
mz13IaxPpUoYELvrMncvKvKI5k4/rNJSFcvQFHehaA+DMO71WLkgRvM8yZ9Qd8znQgw8jf5Sh6ZN
6+9+ULuTLsSFGsM1smxpJ++fNAXtTlj4Ic9JsWC6a0McMVdZ64fr0uEMpOvH0aUTx5BhE+fRGj1w
j85K3FEQ7kpmrEGA2QNEZhfCnteMGwKNiVqZnqPEPqNa9A8ZYJCt6pM6nGZHRcqBPGS0xmR+FoW1
tjU51+jNDeZ7Y9lXg7aBIsyz7L/ENBRIGsrV/WiPByEgPglBn0QN9bXNXAQTVVDMpdRhZvnqpk7b
h7oPz2U2AUz1b7yq3mQKHAaGUXcZhz8+840/JvdNGRBoaVzGeMwjtZtrkTWyrAxr08hhkft0wKZ6
4VjdRiEVppmcbVVbV1MiNpXv8tWIk1JWxKh241XXaucY/f1SRQewcCrpoRD9VaFbx5pEZGuJol9L
lm1fhndmGjYs/rhxtQyOQeok3SooOfaWYF5Dp+PpnA44CEcs5Hwk/AabahjXtp+5l+gwmXE3XbZE
GkeAU1cSCNdhNuva9LmDCWZYNHjZYcxZQDm+KDTpCPDxrTQbD8fzYkgatpjO7XZRAiC5VMZvWQUY
n6eYRg9ZPHrEmB4rgoNsK7nvcl+jE2mRXkDSCf3UGpEns2+KlNQ/9KIpThkotIdI2KiaaYwrUl6J
pKXPpl3iTGiJ+8RwiAwFrIU3Z0qowpVDr1c76tpLzUEdO9Ch0qa7sWuuWWp3qWtQdukZg3AHHI0o
H7yeEtRGBlAJzJ9dPKxbw4uXetM8d1HLgN55NDz92PUjm0yIwKJbNR4IVL1mtA/yxrGDJ1bWO1Wv
Nl4fnFQT8Wuk7wGf4aAIwiU3Uo51Tn8oJnNvh+mR8EZ9biEOjpIY9Ue6I6YIJTX43cV3yoe5SOL8
mrIN5mw6bQvfOphDuBEVAXNxsU1dEmdyNQbtitjPinR6++m5Gdgw8pEAqyy7yUgNmqdKvKeGYfCp
HF0Dro8gB2wotw0iBCUOtr5d7qEq3tP12CeZ2FU6O63uoIQtvnjRBO/Bvxo8TgqjWcAJYepYh9jv
mxf08QeUoPOam24gAbF1ky+WjqSzdrNtrobXlRYtsVPOXdQUMz0FETeo51q6ZptMUZC3Qtm1YY9U
/cqjjet6kTpr3XrVRGKTttpD5xhAUcSwMpV8rqMU5GjB/A5KE6t7/EA/A++S6c96zFku7c0Z3FuC
uKI71/XWujNdqh2jPsAYN2NP/zcq7nNhqQu6e3hQuvCrV+XdHOVCixNIv+hN9cLz9c+0NKxlGBXS
kUq/JNy6eGRXvk9uZjy9FKN50RSCT9wnzcHSuFn8vDdBZtrk0o6FWHqj5ZxykVOwUfBCZGG+o14l
hnJIGgaziq+vaiyUM88MxKyqVSjho/Vo9tF4dllpFrQFDsPgtAyD8vvBnK4KxXrUtMhDnVE+qB3H
F9VqV3Hdoaqu+dSOByhJLj0l4uQuJ0DCp7s6xzd2LPAgxb4ynRSt2hfCBydt1bQkqvQbpq2aI2KZ
LQz+NcZwYLry7IdDsYYFvu1tDeBJ05J1KHdt03gYBA9ahANpUQ30OBCRXog4vIgRfhgMtLZ2MNWH
wqusWTjo9xqUwV1feVdunTyqIc1o+bgT9IipCJz4Kq46/dEJmnNWGFeiH8KDq2cLRxRbv1BvoCgA
YTdVpi/t2mdGoKbxofQJ2LANcAZm+g13HtIZXNi+7tzEDdpLsIxxZ3HORLNfa83DKMpr+AgQbwr7
IhL+RWpHq8Q2xn02RHdl4j4ag35Nimy+N/UoW7a+la+0xnicUndLUIcyj9QwW2cdL6wwaclFCOYd
ifEmSnD+1lnB7ugbqaqfBxFplBFVpVBoJ6OhRYz8LWWpCVI+/nmou3TIEwTFHu/qdELfF1BaqKqD
pmUhartilmXHGiaXa5zflJW/EBG+b3OiIGEgy0gWGSXjPXz5sop7I+mLPdJdlboOT+q4VTJ0B3SY
jJumv/n9ZahE32oVv1/GxihqyKat+tptfXMZj04wVYDKwV371ue3iv7dSvyXceS/eH0bOyq8KJVi
E4LB+49Ru6OV51aanLKeG23jeE//+P2TIaXxDfFFMSn+4Hel0+pNulmmJ4e6w7w03b/JiH8/fP7X
z/Dm+/nw/gntZILDUnqC/ohiKxYrFAsGA88XeDq//yi/uJSkL6jIh0wa6a68I978FInDdKuf8vik
RhsQmJinCjk+JgpiDsH199eSb/uNzUv+7O9+FnoXb6+lijDtbGxHp0KfQ1kl2JJHizV17Fa/v9Cv
PtTb3//Dh8rsyM1b5/uFdBigBNEFK/YRuRUXf3OvyTf98UNB11AZNAAng5rx/kPpgKNyNt7sVOsr
D2nEsDS9L7//OL+6nd9c4uPtNtU4tHy8qKfMeYq8R0P5b9zOSCZwCLqot3CZv/8IhPSYjaFo2Sli
BdShPI3/jcWLPG7Vkn5zTSfP7v0VMiXjfG+J/DTZT7190UKWUpu/Wbt+9aNzE2P2xa0o50jvrwGF
uchGZ0IkwMFvnDuky5tX8C/yYjHpf3Mn/+JazIM0TRO2Ywv6T++vFXgOTbbIzE6BrKkZys6DcWmX
s5wz1vXrj/+fkaHBTfDXLc9/MQOrdvpz01P+5c+mJ4NDNGUmaiB2R0f+6j+bnrheQX3yU/ykJvwY
HNqfGPHJdZa7BdG/VP/86HuCDEREz4yPeG+2kH8m+9fkTPPN8sArcZ9QCVsW9yQzxNdE4Tfrq0t8
ruU7DrXMgIxEyHKn0sgYS4bsPqx0Z6nJoqjWiP1KYpsZktlsS1OAHlDR0adpv+PAqZPfA++gUduN
zyCf+ZmJRAahfJ610UrGPkR29Nx7FfmQsmzrMkbniSzlbFnUKcXoXgZlemvKoq/s9REGDAVsjAHd
b0hGDe+pWW5AzWUnW3jKPIdBMmtDDunqIMJdmgT3HmOdZey6VxDnBoLZtRehVIRrawCfMshP2DL2
UTGMK3XIlko9XAPjOw0SFpUoJbZVjm9GuTYlTqqDK5Xa1Tmoqa8xqB5riZ7yG30dcy6Ye1CpRomn
In6oW9oSWaXDrvLD8kwU1yoYgFq5HAfrqgq3HbwrIZCH9EN/gVJhoTkTjdVXPtbAEVsSs4a4DSAm
y+i66dp7pWpJvpYtSVtJOBERA3zLLcKdK2lcnPKWE3iuSHK6whJiF9itdS8ZXqWkeSmS68X2HM7a
SV+1IL9QFDGKAQKGF6mYNWDBIrASef1VAxZm83KtpIeFkiMWiPopwDJHBh2MMQPYWCSpY7rkj7Fs
zlCg0teSbDKy6qXu6xptT35ZpuJYSo6ZWkI0CyXbjIG5tp407caQ3LO4A/wOCI0V0N3B+9vEkpFm
AUsjPKSbO1ApqTv3dd5c9mDVmoRgDzBrueStAay+dw0IbJlksXmSyuaCZ5tC+ziW44MGtg0M3mdD
ctxSvbsG2Id6HsQbVx6WA9C3zob+hktdn5VivMSPCMQARJwrWXGdXj3ThGdkXQltCyHc+hwoqb0s
bQSnyzGrS3BxK1M6RKqoKy78TrF3hfSPDK9WEvvVVqIXpUIejfMVcX1PTKxO9WOvqmLYSIHnaBK8
rXvVo2vQqDPGjFZgwSVI+inaGF4tmPXW5Ct2kPEpaTDd6kUuZoY29jjn7LNTWnRDx5ckKLHFxeZ1
4jEwtWD0T2l3odG4FjjolrGFci+rg6/RVLjbJre/DpL6T8XJWabjQJOL+qopc77i6uhhw1jYVV/s
chtwI7ZwyArGEgSCwR3utOjcUJTlAxIwwlHGVSS8b0nhXSZ0AhZG2qinLmjzudUSTuVNyb7UMnU5
qVa5IQtgodCet71s10caAl1Pe4yQD6Goa5pDYCjqUccA/qKqXnyTq8ixEDIi2BFJQD7Lf3an7wM5
Dq9/vTtdvHRPf6Zho27nr37uTOonXolTD5IV3QK+9mZnAtrjqCpONQMmtv02XoW4OOJWHHA6mtTr
C7a6HzsTcS2Y0SRjx4Hk9s8Gcrr+/jDOxgRwG7qby5GfqSDv4v0RhlzwQjfJUDqF2aU+2qgNPDrD
Q+PeDhOhxuoIoMrVsoMzJddEIj6PRaLMbWUSsz4gqAhYP4N03PN17J7Q/+f0Aq1nN4iPSeveTVN5
i9PlW9v6q1KxiJxz7cekQHfm1JaE5k5rVUsPec8kGU25O4snOjEqvviEUoWBVXxnAdJZ6VRx0rnK
qArLTK6ZD3Fi3/nj9Kx4DkOo2N30ZXsbh80lyWIXIT2RNSqjc0rCXZ4P/oXXNTtCOxGoK/VeOLT0
hgxm/JDzmSei41iyHCxGTrCiMPbAMWSrLFDuffpSrXI/asklFdJqMgKqCNv2liBSBObjdsFsflU6
ibPQWdvxIHzN3fBUx8IigLIcz5OSgnTx9LkoatS6qFnNSAe0CH965mcKpgbFfEynmGCI3rOXQ6gm
O2Ig3UXZixpBoLce7DxaOL0cw6H+dUcirnrm/rpoz9ZY5LTPzLuqZEg090N0C/ivpf+uNXNSbAZs
vtOt6Hu6EJ0DW3tB404NCKJruopBoR9ZYLP9xFh4OQOysgsPtKKXcT2u1WTYTH1nLduatPDI97Ec
Ya+2X8Uhprg1bPaT1DZeCoQiiVq7CBunz7DFgpkFToMstPa2ITgrTF4qz9whl8hnplFvx7bdDxVJ
LlaUbXJNVZYoCcwZAdtHV2r+Y+Y+4IvuR8PapQVbZWqOTyXYuFsjra/91LgWAvBf0W9bbVgT5+Vt
QhP9pxJ6G9ZkpIelvh9bVJCuUtjbUSHPdkqdO6Wr4BeUyqp3tbUadshVYAE5Xr+dXAIL1RzxoeFn
C7eDLdyVxToMA3um2lCjNG+lt0gmFTBqVdXeTTStE1P7Bj0df0pEU85hSuzFt8BfH0l+uxyCOJwP
jbOJs+mhrmBCw9vbMGuy50ThLLOh2aWQUhkGTA9dQ76eKJ8acu/Q7O7dKFyIsHi0QtyGns4UKSag
a5ZUyU1rVLeclTo2M7Spqh3vY1JWiklw2LAfS6hMM/wex4pDxxSAENBJ8xiVYQ2Gbp627WfT8a9J
tF3ZIjvhjz0NheryiE3agSQI8lOsDGQA+5zur+LsawyCqaX5tax7b52HvczMMQDHkYoYWiZQIlTf
LmmDXLt+mNoa/qilPaUe4RKmGjdzFYS9SHxthmb7BlcFAps8saE32TdZ5u+dUn2cnOCYuMOVrilr
ocaEhpTuVy9VN9houI3scsvIgRvQu0miaVh6kfZiRgZRwJ244TZ+4GyDTtzLL5rQuqpdHT3yWC3R
1F/mHtORtBZyj9VsojUyc5ZYAKUdjh8ceofkcozd6zhmWaFrW269jkj7dBT9KrPc58FrnuKkvPRE
Rba8bXqLule9eTqW7rKKzH3h1MblpDtrZcwDJMRdGZ2LTHzxRg5x+JZupzw/gOV+FjTUcauMGyx/
yhJgxEWArwhXYVCvxoRpB7ErL3lhT8vWDmIC34qE0Uvpwol2+QZcG8aSmcCNMcA5CHvfaGIXtmIb
BM11xVAGITn+qQlad6vs85RPGXJ0LRpUseakGIvR9xdRkLYMK43vDaP/1KM6XaK/3vGpR//XqnrK
voT1l19oWeUf/9z4QdUDsSfswgQcYEtK/M+SVJemcrZwakI8dzJd9o+S1NVclJ/Q1n/81Y+N3/6E
7FRWkuLf40SX2CYQ+/JFpU/mXRPOTFTVibxqOk3Nfel4VDH/Mj79ZfdVvsKbjhg6XoPXQNmAcUZS
pWQ7603JS9yxVQyFLk71oMwqdWUmqK/Nr123efMDXH5/xbeO9w9tsT9d50M7MVdEgdTOJAqXLUlU
OFS+/v4CUkz120/y4YzkE2WqtZjETtpgzzrj1ibJkjaiq5zctmPorc7r7rFA5BteNrlHWvgLXkHf
v9TyqyY7+z0LdLm3TH/peBn1L9ieM8yOxYBa9vfvVB4Lf/tOubHefuc6wJmGMz/fhb7ERQgK5b7t
8HcI49RLoD0cwXD8ZiuEBfM/HSuc//4NSCbwn96AAA1sqfz8OD0/tMQzxxdNp9rjiYI1RPHsVskh
phdI4GXB2H/uvkZ5EAWyq6DZmm1/LZLewshHlFAngz8qGQGiFa3KhNVXdz3Z39U6SR+0VN/1nlpj
tVcicTvoabTWYzdyCDdtZlkUoXfAtoFNhIn1SjTjgq11HUwn0LnL1EcPROnYWtOa8dVlql0ymVl5
TPE5TwKyr33nSJggiVTWoqNPrJEiBAuN8w75lVGxiM2bvCCO1YJ8NEGZCkcxb1FD2Gq67IvNWD7U
ERW7wjmyz/aiMa7AGUZDuu5oC9+mZjIrALAuc/emMaS93JxFMgHTDH2Dhn5JoJpDQGceJ48N7fY0
nYhYN716EWPu//0v9Nol/uOxlAd+Fvs/Hnzjw+PSh24dNUM9ndS1vvG206G519foDk71TByaTTmv
lmTvzceVPt9VOyCGi+FR2ZIhsFbX1pHguuPv39D7AkQCK94vEx96qEaStHYqb9k83uaEWvQLVMkc
qtXvJepfLke/ujPfLkcfFjzscFMSBFxHgZZ4M3wt/XnYzimrsdn+/hMJeZP/8RV//0hvH4KPLWj+
40p3Q+0UYPonZmHRDuRWzHrSE0iFOHGW+v0Ff7UCCow6cviA+dv98JOmVkoHItG1Uw9eLpueO+Xy
9xf41QL49gIfvjs1kyZjX9NOcJdajsu9Mq+H+G8+xd9d5MMq6w4uXHqIpCe320/lrrFuANv9/nP8
akt6+zk+LI8je3VVpaZ2ooE7H3BjqRZJHyDihu+f5d99OjqGX6q8zr81/1u+8pe8GCsiQ5v/+/6f
9fd/+y/54ql5eveP5au19qp9qcbrlxqD5w9xrvwv/3//z38ZdG/G4uX//NfTV9q7i7BuqvBLo/25
6S54Pv/6eLSHVfDrv/lxKgJFYAns3YAA6K0jK35zKlI/MUkVBohjkmNfXb0/TkWokF2oPq5QHQk+
lmepH6ciA4EyeuI/0sH+kUBZrjZ/PLqsjq7lAMZ04RdD/QES9H4DtUXh42yYmgt86jURdCHPrRNo
ycIuDXdtd84TxN1+VcpUZkE6jqHs0tppR3dhS4d6+GpWD16N6wY5hukcQScY1uLV3F4YVdVfZlje
Cz0Ob5Sq19xZQGLFKqonuCZJgEs+QfMxZqO/RhytiaVPoLdHjZgn4UIzpmDVlHXtL0qT+GeiSJU0
0kHK2En9mAZWNBSwDyYUhQu9teqwXmnMG8SO+cGUn/0JGuU6LCmkSBX0CTzXfRX9UEZx3xHOUuV9
hCYIOE8v05phbYllD1BhrcYWmYs0IsUmZqY+LfUagTNhZC5lWdLqVnksbE+ZlplRKDVIxck6tiPV
OOKw3DqHliWBsHaBHigbyU8pgrg5x3pSuUsaIclpgGagrUubf49+nT9MveFCICv9OKoY2eb2tkxw
eS1f78x/9zO6fskvntKX+v0z+T/5EVVZ1v76EV1VL/WvUCLyr34+pM4npCWMy8C72hzdWYp/li64
8mk+IqngiPedlPXjIbUZwQFSguEBEVZ7rWp+PKTmJ2nWJ9EL5pUmGSX/6CGV/v4PTyleBNdCqYAI
hkH1h2F7nCbCJTXZvvCGeuc3ZZcdmx4G6jxKu6IAYE0m8drpUXQjefaHO1RRiPRyNyuCfRMFj4Ne
n9OgHBdBjR6xb4hK6v1FPEEnFmqm0cFPrFnuRs865mYcZGa4pHFYIlc2L3BRkDGbKI85sPEsje/7
Fn7nVWMXwZmwd6xzRIvapLQmCuIwNVQuYi9z0IF3pFWmiv84Up9fEqgZWpdBMtqXZubUjCt6tCRQ
LRIk3yZNkOzGshWkBGA5+2U9CK8BUFEH4V1LI4zs0Li/jzVsCAsSkjdhEEXjBjLksY+MXd+a1yZQ
j4VH7Kc6yc5RyIwwKL4QPJzOSD58ThuSDCHnLQ2hPwdZNM0QL11YrYbPf7jDZwCLs1cOSqcslNSg
aJFeeKMoxAIKH3PKjLRaYQT3WK+deWrFuJPNc+wQvUoy/GJUwq8UuTdpa7yoBni+OuVLMZ3mytal
FQov+oaWrzLT/CL+POo+yII+3KiT2y/KMihnaeLc8MhrqzyjLZSB4wUxpG1onsyyrqsWaR9u9UAn
4o9ImVkGymRW00BiiIrcF2YL6E5NIiTT+aQzms8MbQMWHs2wQxavOw7aduyETEJSv6o5I7MWfigE
FQ/3Yb1OM/fJD/I97Zd9rbvVPHQUsKOTe7a9BMIkvZvBU76a7rRK1GFbeEyrKnrbnVctimqyNmkm
oxy84luTI/Sjk4dxS0m/9IGLp23MHrilm5nmdvbGMpp4xe11hdEd3bNDK8uMlJkxMQBymyvU52hv
A3HtFQgmyfQJyFOrzHlkdjgPSAIi3uihjTTEDX6za/gFm7pdUUCF68FkSGWpJQ3ijFTiDiZ+ad6L
urmAyn8DeTKeQ4W6S/3gGj5uuCjUdi18S9lGFmPmLqiuR9u7UXsCj8uWR4Se5IL2mA8TPEQrWHmX
rTdtxsRTtvqgfKlKJVgwYorXo0ljcBIu0M2W6BHfrNdQhgC6GeO0o9V1ikARr3LHlM6cTJ+nHbgu
XKYHPIBfyaKkv+UklADhEVcZhZZq70lvlO38hFKM1C/BA7AAkvVUqUW/Gt3m5FbGQ6eQKc6j3s2i
MbXQ4evfcByCuS1y0JrY7Vp7M8nS0rYHLCEZGJwm7m61fso2isHd6fl4VOskfElGbUJoaD+YvXnW
BL9wl9PPTSptyyxHR+/uHIKOCtoySF9SU8NY9WV0Cn1rYSnxdZp0F9DlFcYjUDB7kuLD1IUxn5Ur
KwH9RutaR4E5jLMys256AbJZrdRvnmYQqpt8QTmwZTKP9NFvJN9VezFq5e6V+pum6V3aN9pSc9sz
8cBiHVrpYz4aewSyI31hZwxoutrYXK70yClsTnkqGNmgfGYGs2Bqgr5YsQuGA+XRkgndE1HdRKQ8
V7r2WKJr2rgyzbsg1nuS+d4OhHzkoZbFR8VjQkopHU7ywFW7OUMFxuBQqMlmVEFLtzI/PCVIvLCM
M1A/kj4DhNeQeyjnIPUsUCtm8yxULzowEsvY1F+6iUNTZlrHKCK3nJQvG/I0WeadTDV3W5qgKd3N
WW/0XxT6wHMhU9BVhNoXoUxG7+pyYNatBQud2PQ+Iz99BOO8FIxrY5mtTkIxHQTS1kOI/iDzg+JI
UsB2JJI9ldnsKSaJpSYnt4PO3VpU0RfLzmyyulA9m8S7+4Yuc95JfM+Jfo//H3vn0Ry5sUbZ/zJ7
dCQ8sJhN+SpWFX3TbBAkm4R3CY9fPycptdo8vTehvTZShFokq1mozM/cew9JI6sI2drGQ1y04Dyc
twWoeOlhYZDaNlRjcsWSRxLgIIYnY25iarzwMUVviMwla9iegmsHHuSGPfm+BlGfuDHxKIpa35A8
vhoQjhARDtM+6rpvaS2STVS15sGoTKXnJYciHcNiFxXk6s1DznszTACeCYJZaFRXJH6TgWC3/d7M
A+DmujcD0+kvwsw/BP58ocUzMAG9kpsAi53Mg1UYsfTWXOdI7hQZCx2xK10/XVVddFcY88SFqMOJ
NyUaBwjjpDK3b04NdymH+7sdvRbnug4YyTPQoLJVvmpj4wpJpFilZdxvq2q+MNvgGGTmKq3nqx5Y
z9pMaqEsu8iEXXnGdv3mkZSTNQHybZfNm+NoCN9x2pamN63B15BoPtfZQojhq96lL2WqsRuPb5E1
I1hBaobulmWbtKr3bHY/QjLDiaG2mpWMLb5lbBSrIRNPVUwmZN/F58DHDkiIQL8aajyBZZBeFB4r
h2RMwq91lK0IfnhyDNwgBh9dN8s/ZN4+2Sayg6g9Vz2PstXmb4Ft+GvdZ8fm59nXrsR+UMZApw1N
u54F2E4ti08YSLDKlelFJqlELO5UW+s5wHT9ffQa/D/B0QumnHXUdMgCrPx1qqnV40M+sZ0rDEUS
yXP0EBj8AokDRr+wSTvUAFsPI5ljDkOqotZ2QZO8eyCwG8XCbgiNbir+dACTjaXuOIcXOVnvEoJ2
1aQqt+81ajh8e7hZiXT3XUw8i60Q3A0s7rnBd6Tg3LHCdCdVczEqcDfaArkxYHnD/GYCZ7u3cRLy
P3OA9/jCY5mho1A4cOKa4i2V2zMV2D4e4SIrdLgJQ3xWMPGOpAEHunjgDw+6yTdX2PEhQLutQORm
3r5ZxB+FaBoAidZn4eaErBRfSfMFYk6fgmgenJVnnsc0vpcKeF4p9LlW1VdV7B/BIxOX7dQ3Hb0V
oEJbxxqebzuFUO+VHUEfUFMRx0bGCKD1WCHXi1lFxMnpNu9rleMJmD2i7lx4sNo1BW0vLLl3obgP
0NwjhXUPB+9y0pNtOW8bP0VqtJVTsdIJqocIHyk0vGYBiRfQ4slMZOeMm4hl4asJT94ZwlfGrkdL
gea1gGVsU9UvZPyTcm0Mic1F3MsLPj7Yh2jm8GR91SuXTS7LyobJHO74bGeU2b5v01XgmdV14Sim
DiMah1QYRrLaQ9SXpQAyUjTyAJhmQJATD73XYw/ttel64t0phB1rKysgpTOc3SFeeX7KglzwKlKN
T5smtzPesYUstY2GnGlVpNqwia1yZeVptwr68jHwdBo+r69BuYT6mlSMe1MWt4PljJvGtD7qRD5Y
MUxr1mr8TXFPokHYR671AtP6alT+ykg5LSPluaTuapZpig/TVo5M9mpkOCuXJnATZffDudkb6r2j
Nu/8iRSN6FhL3Vpk2D3H1j332D99bKBonH3EOcmLTmZ441tHkNxUN2X1yt0yscNkoYqptFHu0rYT
72TmF9tZOU8nMistrKhsRAF0RzM9MQp76pqBCWHxTQ75zlROVlt5WmvMrVad3RhpzxQG5RVm32HH
uXv0McS6uAWXhfLIdj2faOWaReOGf1Y5aRs0O1J5a2dMtpVy2/p6+pzW2OKiy7SC/GaDahih1EmG
3b7Xn8mZqLExtJe5Dc5e2XoRry0HfL5lKM42YjhSAM6Wcem0+UKb6xVOhPDQYxJOMUK3mIZbt73H
ZkmcKnZiT25HzMVjiBoKs/GE6Tiu8JAoF7KJHXlWvuQEgzIv8D6KNWflUguuI+Vi5lR4tpSvOZ+x
M5ZYnVl2l6vm0/2czwAc8EPXGKOrXryMGKXJJHlJlXO6b1qeBP8pw1IdK2u18lj/29BTUZJ48z8b
+tv2haiM7KVr/nPypr7ye1NP1J7aNmK3+Jyu/bKP1L9Y/BGUlz+SQ+m3vzf1CvGC8IAoAdf4DAD4
MXkjGRsDv+NbJqIYF7nSP2nqsf//3tRD1caqwYCPAQFLAV76z7srzdPMVAL6uuyAmcwnAjzt5EzC
n5pWwXa5cgG3tMs8s882xz2YZe4KemNp5HcE7pSLXM+PtSGfSAY+ZE1xE0OAahUKykyCk2fbJ+6a
dFlAiwpNqi2qkWMkhoc5Kd79uCFIpje4F1OnpO+aN3pOsnTE+qcL2MwbFsG4WZucWiKuR2RUK2n2
hf7KLor8qSHMNkMI4oTSmGrpYKROG25TXaMHE73v4MCkhHMo54VZLYjb2buxmzPw8g8ODkbrzgxa
dKBBPiTdyv/Mm5IqeipRIVTdZx5V/0c2FSlV7mdeVebbZFe50tYIAPAkSs/C7albmcGk64JwQHLd
EvMJN9Rr5+SgXrLiwSX6Z9lGw9br8adXsfNSBWWwcod6vE68bNgom3YcCJQpTQu0FttiPdPNRT6b
q4BmSQRfNTnvW1e76d18WfTDHpXlCsnMcRxs5vaYW73KUel3N1MTv1RaecF2R1uUbXfqXBLsXA0b
Dsf+Qvr6Td9pe0c3eLn1GdjkBxE5i1wbdjitgLHkuzCoj6FfnHNjPEOLfBVTc+NHXH8JIRF+T/fr
7gI9vHSino1RVt1m1YyJN15lldgOdnMjW29ljgM9rfWQu4QL+N6L7zWHLBmQROTYxxL/o9DLtZWR
SogRcCg9crnnpV42GDSbK+QZT5zVYFu8VaXp68KNznOJ3wd+OCric0GuejMaDzMhSdQXCysvzryf
yyoZNn4UnRPEKYwQLnAJbbq2PYD52VaOeDbsZOPF7aky29ew9Ej94+0PXf/OkvoyzvWt54xHXR2Z
nS/OHU3OVCdnidOcOKFlO2v3dmTus8QPF1nHlDXN9w0JPF7sLfygfkfGu+yL7AHGz30pops20jZB
ZR9Ny9swFDmLhNAYZyLM0Rpfe14EtZW+Sgud+Lz5QPGzlFF7DF24EDF4iTHalw1Kcm+S79I1bnp/
vJHoZ+iZe/uaeGsa0SE6O4F1mqCAXspMJHsAIXTbsVGSrUqFgNR8rC8FXO9B55HqfGufoSDmrgD+
XUEBn6CBC6jgVm6CVwmvR4ULH/HakhzhrkxI4m0y8fiZ0LwrZHE1sHHNDJ5nmZ0GhSH38u4uhUtu
alhXUoUqNxS0XP/ElyuQuRbJUZW9jIki/USS0I2lsOe0gahsRt7xPvGvEtjoDQOGihttx5xaI8IX
4yDklFMLUR3u+NKGGyOACWE6RewdG0ZLu9pc1aS3LwvI7JDxJD6QhmRynFtBejRhuOuw3HOnPlcK
7j7U+VtlgXs3Zo2obgDwiULBx61zbWfevlSQeKlw8YUC/wUKIa8hWSwFwmwjIoIpgTOfx2A5U9ge
uVE+tq6FFtMASq/l87nTzRMF8jdHYes1D8p4hTRoZErIory/oQf92vrOgbirnad12Sabigr1/3Di
+JgQOHAC5FrGsr4qupVRBzQTcVVvkm46luj5F44ZX6Zpfd87HaOWaLwLHZvnXY+JUUY956WXQcav
BqtBiuAruYcyUwDRRn9l2dpwnEszu4hsgCv/3v+f97/Nkuy/D/S/vhdoIPB68W/CHn7k7Kov+375
694XtMdAISxXxxP1c86ujtaY/G+m9iSH/0HM+H75W4ztdYKoLAuH4x+umu8TfZOQIcsgMMhUdAxl
uPm+erz6Y5/G1vK/7uZ/Xf2qrZtrKLcKCA4G+lDgfr36R0Hqs5RFd2ZDtayh7YYNUjYv/6NA/K8/
Bo3V7zUGTh/Ds5hqO8JAkq1eyE+aJB0zTO2gITyLzvbv0whR8pKI1xZeZzrWOEzaorP2TRPMt1DY
CejGI/uQeG74ZDQY5QNCri50NwdNytU7XkWTeWNOZV+unCl0GyziSWM+92PteKj/675Hzw+qq7f6
mMwzLWNBnyEcjtlRGOtyyEgA8bSQ/psotOIxTid/raB3YtUUb3ZmDWdXrcesTlQZCuI0Y3AajOZS
Zd1qGTGgUCqG0rwUDLPTY58ll7JN4VfTYC0j/4oxx7vdVN8KQniDRty5jN0L2hNbc8qtIfhbaFUM
yCfY+PnaHvN9ME31ykypmxqpr7Kp/oi86AbYxFk3qo/O7G8zPUTwYsnkyU1xn/hh2p0YKcpz3djO
IYt9sFSATOfZQIigaeaHlTTYMIKI4Pa2rtZ5T7hczHxnbQxKceOfm4Ljbza8fhXGs7FtC/d+0rXH
jMZoVSYR1qC2RcNJtidm/rAJcnI8UfTosb+OpF9sPSP3byu3dqeV4xXRTRP2GmpKXa79UYyPFog9
fosG0YFN2sGk1uS0SjAA1U4Lf0MjpOSnz96fj/bPajTjVzHG57NsEXCPBsriw8Fj/esjRuxSHYYE
hZybdf4yMIe7nW9BdS9q2EAF9cqC3Lx1vnXXcl0s7IO1Mdcc0Mv/r5pClcs/NtmY2kzCvNCDOLaS
2ND3/vo62A8PXcgO9hwY4WHKonGZhoSoVoNlLDw39dc1uvSNNBzGe/gYT6Erg4POe0RyT04k5XT2
A0E9Z8zPpEr4m8YgTaBtq03gzc9oYpEwkZ2rbqcHai93YUgSad2Gq2scAgNrFIIoG8bpZJJoQwpz
EpBJZaE0nG1/p2JeJ8PYWgwsFoT+q1x2YH95wSCORDATX1cJw3aAf23gIYKhhoGLOA+kUUmz4kN8
HkayLOtQ4dTM8D4cyp1u5qdu9Aij9ipW1jxorl+DZxfJ7f9+i389RD7tgpglACLATMbR8bvcxscX
4VdM5M6kKSdbDgK4uFKQMx1Hawa/Fsm9Icf1Xyf63z1Vv+oS/vNn/vZuamPvyj4NmzNz4yc7kMsR
OB80R3dn5R0QDmqq0CEkyoVHYmcUjmR7T6Q3dNECQ9ixjL1HETfMahrtI0itDWK2E7v5axHMb3ZY
P7NRqwlWq6s/oFn/LtkxhP54B5Xa5s/rV2kF/u//Ob40zfvfKWH4qr+uZJ98e0w3CLeMP9flfy3Z
9S+m+s/fFcI/+nFL/6J7llrO85n+M8Lv+5Xsf4Ht4fAdXTUywBz0T65kHbzHzwcIBxklgWHxT+5J
1Lv+b/1430FaqkpnuJwGs3HXUR8kRCy7zNXCiSedhHNYkWloArHq+5TpvK6JFQKeuN1Xc6xymZ05
PTaTP5AiMxrtvE6HqijJqS1Mx34bQVXlzO9kMK/bUMYM9Ua5Gx099D98QbTZ7dQ0jdy0sQt4JyDi
mljZqhyUZUVTYpPaCY2ZTjIdmFTPSFxBXXThqK9zI5TzmkIo1znZzGrV4gfZdiL1mNT2oWXfZzqU
yg29OtHvesWIl0XsrtL6aTeaU5d8DKY3bsLEY1oWhtDF12Qtil3E+uWA4Sh7jYPC4fIbdPK1q6lf
axm5Jz3uPpZknFYiZyzQ29J+7W3Mh/Ocm9tWTJyWdh1aW3uKPpxBswAkeR/EzFokQnGtuhV/Vmng
pth3MaODRngRhUzgPZ3YlDDOSYJvCXHPpFa8MrRJF4bepizDDSbOUjDO72x4U/oUix2ppvQTAcM3
3ctYBM9leKikll0BV4oWGRzIrVcV76k721szMwkFj3priy+UpCLmC4sUPuzasrvsKhUdQTG0a3nV
wzGv62HtwYhahJ75HjEy3EFX57Ho8YKhskXiUIb4ZhzttaJX2jlzRnqST1sdSfnhDkHAyBPXhpsn
PQm3Mpz4OxGnX5Z5c/BtkawMLUpOvGbSJ0qnPKRDj0wzYWfkkulnu8N0TbwPhD2/zNdNF9nk/+as
laTlLYYOLEkxS16mZz5mBXzOsE5CTDsWLOCBTV/pZsRvVcysu9JMtqg86utwqvXFGA6IE2JJCh7B
MWwNpiklZ93INrPwCZQhGF1Noav1qLsdywPsqsFYpDsdsCh+4ORPIfe/x6ayP/518f3HsXmJsyJ8
/89ORn3VX8em+4Xy3aAxwlqhu/5P2iSaHDobG7qewzyPsOofY0zzi8+oEn0S63nCR+2fBISmGosq
IwbfVgmX/hHEmgnob8emS7gF398XwjcsU/d+r/8cPoCDK4ITI66IYjVLfTQLfnChjbW4KNxG7YfE
1D1bSXSIg+kJyTxx927yZva2TuyTPSAMiUhJXNcmgxRRUZONCfu2JTK58msoGbPxmRINYhjMSwtO
DCzjpAXLFysL4nfWGgHLusLG7seDuyzIBCtwn22iLk5qEscbxgiZtPpNLckRPkyuYsBBum6CzseC
GVeOWkKMSO/4zGpeiHQnzZVYPSCCz8Ci5TElcNRBopkkOmd9SOjXxEc5kuEh6/TLai4vGluc5nm4
1s0ZuYS/C0ztCEVhr4fRfiQXaWk7kpgDXbOX0FwZM0ADOlaWsxWVdpXgqLqpAu+irSKsgiEez5BM
pmPRlHJJ1EC6nhwuI8lpuXLr7nJsm0stHTkCCI+E3Ys3swSSEIVMrzF+oalfxuYkP1KzvQUrfCsc
GNtkRbXFlVYzazatlJTDCkSgEz2yfFu6KBgCmo1Tb2VYu8vow21CcB0VWQhG6TG/YlA7mfmt5tjD
pvJQ77g1BFfUxdui5q9bISDjzkNXMrvOytCL6LJHIrCLq4RJsk3K2aiVN85AhgFQA3QacmH6XbGo
DEZKsXYChLDpHSYqU1dZ942vk45HEpzENbaBRBNzcebUgPgE5sqtqAg7Irp1jbCyRWGw2WkmAnF/
+ij+TQ36a5P+2VAAA8Nd7zOUFWQF/dpQJCIaRIp54GyIqNqY2WC8RJNSekwpjonPn/Xv+WdyHPz3
8+8m7t+RNn37myNQfeFfR6D1RWXbsCthXMNb8kOdqdTVeMaxcXP+QC6ipvsxyxEclhxzutrY/HYC
0rGyd+GxBwxgEYPy2+zmf81yPtufH40nKVsmsyLHw4fgOAaoBNXK/DRjiYyiJ9LXNE6yrOvKPWqZ
NhG471uiycWKNMCUTa1hpiSDBgB/yXhj2zJNukvgXGxfepnILjvl1hnyUdvbdmGeulSbVoPRFBcY
KfPbySyGy260qmMRt+VbG8JUMfIhvbX0QV5YxMwXy3Z03wF7WruSnnOjJ9Km6qjb8jnCueRTYrG5
lzizLD/bpobODCIrqNf4zH1oZjzfGI2DPcSPEO4Uk85K3PP5qDn1ajQSICYiISg4ctOrPO+COwMK
2k33yZQTINsBzGWftLm5imhDiXdRGDodobXBD+xE32GL5SYDWDd90uvQoffXUuoegqFSAe5AqvXi
7DhIpnM7rpN7LVE0vLpPIeMhl8aCNHwS82wFz0u7ztxbCqhHEoixcrHyyWo6eG1Vr3R1D6Ap8O0L
Jv3yJfi8LditE730eYdotbpPprgwzS358cl+ihyi6QmouJn1BpGioa6lkvupTbLoUDmBOZ9ssqP3
Xg0W/GZOPH0zQV+YofbwYA6n3GegrP1x+vx7Itg0d//9RLjrshf5N8eB+qq/jgP3C+YIQdlh2Bgr
1EnxvZH8nO2aPJsUJA6cR+qo7+eB8wUbmOsi4mY89Nkt/mWpwG3BQBejGMkUpk5d9E/OAxItfquI
+MFMnAWvgWfaw9j664HAGk/URV4y3YVkxRqieyYOmJlO2tIp9NlqktmDrYOhmsrgFEsCsW19aJay
6K/yptwjC9MwjhpoT/sanlp8EXXJCZHCgBwkvgUo8a0XoMe1sncVUS0nlNwg0rrGnS+ccJk3KnVJ
PAyz80yV8ejXlCpe5FvktEGe9zV0vJamwe+IMP5JWGwhsl0u6q+2VzxXU3nfR1j/y7ap8Lg7pC20
+4LYptbXHoJiuuDjcgmn9dSn0bEt4+emZHBN0MWVNO23DBTiOucvRpxP7GwNg7RsvXzKJzFBUCRr
tWzVyDsbdp4/3E9GJdecZhvLAuZqJMRigJIgNlfzvpEkjO0+c45Nm92RfZsuvdBe26l3g9bwW934
V7GNqtSoiZ4Xin0VDMPZq/pHhNFvQVs+BTX+rbJ4wxwIwjWV4borKDUbNFZh5aMhbxbkWT9nRtuv
q8yrVoOTZtSV5dug+ydO4HaFMG2gRDHn1WQha2QhL5dsnI+k1BLxEByLkPDdGIXhBNJYyOEQ+v4u
NOybae4/Yit5x+l3Z8bhljPkMQ/RIwqXF8mb5AtpL4aBhHNDQLAzGKFfO31zQjP9wZ6zXLE735aE
Diw7icktF8aDFdo3Vktyuhend1ZofHSG0+8nalwEal23sczuMdeIz0b5jvjSYQPbxRA12mTrONkT
5Oh0g9GUYB8buS2hW0tihu2FsDT65XQj8KssSBXb1m1UqsjdftFVvGt5awxLgxz/T1V9PXsbQHGw
m5vqIg7y+jDnKeICFnpImeYbN6NXLdj+1hb58HPg8Z0gqoiW9FsCg8CUdTxx9LXa0pt5iKeG9zA3
qnA9yPkWkw4/tfA2YdBvAtHdzp55QE9uLlwjA5cMqm4VZqRN9V361pbjo8eFuHCd6lXoqH2KMljK
AVjZIOIddwaJXlq0E+SOrDQXNLEQ5daZxFYXXHWN0Pwd6gCyenvvHYzg0RtLwiYasnCl3+6dkFhh
A13wOsxJValt8NCMjnkasRSwx246nyWiRIxpzdV8lY+OcWEh31+N+DfCffZpVkjT4QERvuzX8tPM
wK8BY4PRquhlJ7bNjfNpfXA/bRBWW2GJwEGMPQIGq3ulfZompjqOrsx6DJ/iDq1jxiO0sCIrOFek
8Satw2ofPbdguRm5fngb1UKje7DHa5FphyCsY3M9ur1pLxCaz6vRc5p639GwQcOOx5Zgd3TY+aqZ
CG0ZsmsCRMd6C0jHeEwHskpPWVF1nDNZRKKY476JsCOyP3Ummc8oGUt/XjNfteHWxYYb3olPa5ZB
wHGwwunFJr8WuRM8p3YcWSdh4AgBjTZ21b+7UP2PXej/nLs+da8v/zk+UKPN75eloROfxDYTaxOl
8O9xTMzzKZtp4ZXL8MfU1fTZnoIj47r8Szv1feoKfExhx0CkfBqb/lnxbIrfL0t+huly53I145HU
1Zj55+o5a2UrxnIUl22CxtIv7K2TmtqFoXXA+lBvX8OUKHddYfloYINmUxJtt2zR/csSmOZQjKxS
SAo6SkkSGMwg1JODs+2H7jbzxuqUQguJGxUUUqwaB4krdTO6xk7xJ4a9H3jgKJEvQwLfErwCsMuf
8qU7WPdDIXdWHBV3bLcI3q6qN/C6F2VX3SPDrJbINlhxhvVbNlFYlw2eoXoYduh7gYDOKiUF8/JW
TyzrSjOdi8AZ/HX7GaoyaAE5ZgStZCSuTCSvMMR9C3K0slDHmL+qeBaP3NBFXWo3gEIzkByEuOQq
ziUzuTWCyXVXQexYS6KuMZAH0xXhgJJDy/zWkAwT2ciLVFQMco7H2DDv2tKvVhppMlVqEyszh/eS
Uy2Gi9Q5zGjBpe0CkmgoLIpFEkV4HsfrQiQnIquecrJrktm/0xNWXraKtZGGuGN6Yyxm3oQWwf4y
UyE4Rmu/TCoWBx/po6eCcpoqZtfFxTFY4spTYTpREF/HvtK75gN5dtMk4L4U1YeQsNAcJSWKL/qp
DPdm0tx0js9ExkaiO8sc+4+TLRJsaODDMKfO6YhUVevQifoG6YQ+U56U4EAJ26FovEvfqKYtNBX6
DifZAxDwT2Ej3426x6Ewu+G11qXYdmL7zWeafK4n4yMj6gdhvVOKVZQY/jljurMsCgWVSQFTtnae
bgoOw0OYlpdRLjn8M+9y0ErccdB0AV6VH3mKLKUhDL2TxhkRLsB6xDEAHtjv6V1ZEM2qbRMAjste
756dKvoKKKFbys5fwqEp2AtH/N4gccO5SpQCev7qsigg8+c1J8MPnYt1sArtWveqD4vo1S4iuL8e
PSiRjlyKVpKOk9X7yskPY2uvrdBEuJ1eUhmMSz/zUYSVyYMYgns7B9Pbpj4Brpp7L9vQ5mUbx6Bi
j615HelIteJLCnGTT+1BQHio0+QmjsM1jr2nQchX25clnABSu6amP3sSlbR0WP+WojjZHr9cG6sw
U3Jr6wgWqYiYAfGG7pEoxzd2rPj42umhMo2OzrDaVA03X9mi5Z3Gfp/iqUDQJaDcDq8Rv+u1Y1bB
snDIwy+N6tEsqpMPK9DxgPpEZsPSNnhrxbBxJUWwlg31km1CCb+H8K0prZeTn6GEnOxv7WCfhtoY
mZgnxzqQBoCOPF2mrGaTqHn2kvoC7OC9ns5fda255vUxs7MYWg3+CfwthF6jW4VzP6wQMZ+8mlqj
m8UNYUzPU+tXl6EVZUvI4eMBX7G2L/NBrgpixvq0vrU67T2q0hvPKWzU/uihSHTHXhS4fJdZRvaO
fLG1DGpS1kwt2+e5cZ0IXBEeAwhqtWZeaKVLQljJQzyBuIBTi72sBPyHZzpbBVFGBFqItpFhMnn7
4s2b9T8Tjf9tS+3/Oai6kzGV5PQ3V+1PYyrD+EIvIXSL9aGBr57m83tfaphfmA39KTamH/yzKWW7
ie/fdwEqMzky4YD+UBuzLVXdKuN7nwgkbu9/0pS6gtf1kzyC7SbKApCgSOb4Fy9FjfF/mlKBzhmd
um7yq0KvLOvUGB35OFMXi9yGJKiM+ePY994ic6u3us+f53KOtvi4bi2q0IXpvk79EK2rLtxJPs51
FReL1rMzugL3LFq9Voo9ogorADMUhf3KBgBIu+F0i6gKz5oWpMu+j1pkEeVlM7XfNCetFrY/fMNC
X66jEnE+pIQFzqKL0UKGTM70SdlcpCjtVUkpSZSY069aQkEX7iS/ce5yF3VScXw29CBE+Bneqzbq
m2ho9YU7hjvXbc/0jZgq0giGZD08DZ52n7VTtkxS/da028cQUO7W9zSuaiZ7l2E8IY7VfXSodirX
+hS+uO5cbkmhw27oy2uK3MsSIwRKaeNW6K5ykcXXoyEOubDfcUptTTm8NFZ8QcpqupTYWEfPuKCf
4P/2d7mQj50Z78sRkFCRho9l4zwq2/UA88Ey3xrff5NGcynn+MEux7fU8gA+QlpfkUB0BeeRRD57
2OW4FKj8CXaZNZImpzS+bWLzzEDuPJt1oEgO5HMbrCjt2sv3iY4QwtYx6Q6CcsQeiFUl1WEBWt1d
skC+SCIn3CZa52zqMDtFdYdpohnvnUY7GNjGIJG1B6+Egin8/LKawCFyqBKhUxXGdmqVvjopMaB1
EXynzNumbiSh/7DQcfqAXPjOENjl+FMXWqUMh6+B5wJ76q4c0V2KEmadpvn1VkJnHw1DdYzp3rBD
DrMWA641zGxfhNznmi2X0tCAndhmsBzK/kK44hzxVvB/ytdEkzdOb18NodiHiQvszEi2VkIcEdxk
Xx/hic/OfUu7LPLwK7vfdzRz2jKdkczbnWMt+tpHVtvNj/gcq1VoVIfArR60rmtWWTPca37LnZ+T
Oj2T7bw2+/R20oxpbRqYoXWd278BWhCX1cma/MvUYi7RYr1eeOVw7BDNr0cazEt3yEM+K9IjAjmG
rqaiPFsu3NSEEd4GVbIiujjAoNXgwU6Thy5duVl8b7bMZD0/dtd81gCL93R9uFy2RdOiqhpktRt1
EOymIjpVw4kiYV7lSWyuZhx6ZFNFZA7XCLuN/Bwrpx1BiSgBTRNhTTgTHF2+oAdk62yKWwue1vSR
CnWVhvKmdJu1OY1A3iJ37VnlV/QYH0IXBFa41oecxZPf+EcxZOdqmm4NkuEWMKuitTORMjPl9U3U
NS8ZEFZCpPZeOR8syDlLqY+UTJBEKHKspfSmD6ORz6HWXQxle51V2gnCIJTWAsZwOp5Mv4fDy9Rr
YReDsUhU9db5UY+nv/2oNFyD2TiodHH3Ja7lM5NAAflaQzJQ0iBAqXJwPwEPb2zNA7JjPXLq1uz0
iF7qM+etRYOC9hHHKwfyBbiacRs2jFSiuT+0gclNK8MbJxpfkhgAD0xGTJd1A343RPbbWPXOyZ0V
NnRM1tF429o1easkJ2cjZqo6hWJWFLbkQ1fykfCcE4bOZF2OwbnMgDJZXTCSMBveBoF1WVb+rR9Y
O3OcvKVTwPvtpgw/PJ57Ytk2YetljxIeHTO//qjhYcEmrz7YdvLgMpXAbDGkG45VmgMjeh2L0lkw
t9n0Q3HgQL+ZrLLf0ZGPKy6A68pC4hDb9qpnW7KNREwmGVY2EqfLO3JmD1FAkwGQ+dhE/XWMwgqT
KENGKFALt5TYA8KMr+37W9tJvB1c4dcGoN/CR+MCet2ICD2tmUXM2gcxONwXkYy3nq9dF1P56ph8
tuvM9WilPG2ZjSxV8dIWZ4H4Ah9e/cgIJFi23kRE5ESQrElGGQQuoTI5ja1dFWKTxKLdECDx2vnx
Q1nxIGEg2UyoaxY6b/mC6w6EpWkS2jmKcOP7Br9TYGp70xx2PjAbWL0WfK4SRVtn9ffRhIGLO3HZ
Jl7JL6bBKOraIckWE48bIsJVl/DfKL3iY6XNwyq1GMxqZqnUFrBhxTAstNS5t0lik8X0zS7tqySs
3kedb9dYyaPjtKjhpcaj1xVHRLv1GVQj9bJAy+MWO6Hr+xaJEGHeBu5nT5SPdZZk+0blCht88LPC
fNAm6xJh9LehzjZApO657MVF7DQ41j1/38ThJc6hO39OdzBtkMxGsMxwTcAItIZdQIa4SygN7h9r
4KXYPUoT9w3nqrbK0bIs67KaGWd6NzrDvbUNxQzHKNn2VZVjQs+6YC/k9OJoPAxt1BubNPXuxgJx
jhdohzgMX2TirsKUvnJMqm1Zl3y9W12VKW1f6Ytwren2G0RIhIpt/GQJNERJ7VyJzvlasg0PKhXE
G5ofiRhczlgWZoYho7U3FlAKXSwArdOo/NqJxy/RAUnHE6mus/7k0Ib4Vhqv0e9iItY4tZErkwfq
YiFxtOT/sXdey5Ec2Zb9lfmBaAsP91CvqTOBREKLegkDqlChtY6vn+VgiyL70q5x5pX9RCMbVUAi
hJ999l77HdDJOY0hpXckgNf1gH45wBpVXbOfafZjVKMTDdfUIQlJesceuA2zs9JVbTHelkmTbR3f
+xGFBqOnFza7QUhzXebDsCnBDpTpop+qzkuOv4EW8MBe57XxGDXjU+OToChif40D+rpvBWai3uvW
kH/g9qvooXNc7DVZd+xDvEe56T+por8Ns9Ffy7YjR0G8meAI95Mcut0UGtnGSoujwcmJGzIx12wK
P6owv50s3ud8WrxCkkPtmBRF1/HnCCbSqJyfjmk8GlDbN25OgDP1U3b8UBlpZfg+zM2Vz5uc6K79
nR0Y/YR4h4tQnIKCnip/YWKdnPQlzJnE64mxySMJkRg5Qu0HHVnXHAwANSuamkWfnCq7EdAuElbn
cXkM6ob/5qVvoWHD+huTR9F4bP57497NmUkt+jcV+eiJMxewFixuXVUW27qT4Xq2+3CVpzU/jqLg
wRsbqIGlAqdb3nreXK5St87W3Hc/qZCCOzyC5g9TuWPlSCSTWzdqxF0W0i/LtXCWTtxtCztpVn1a
PTgxvyPbFZLj5cRzuinOyCjFrnEg+Xrd9ySHn08266WeWOfmvfm0gOuY5uzRUmCux5ZHqmuyQkWE
8fD4IUK446bM+usKG19hYs8gwUVYpjJLrtrk0+dsHA0OwsxUfC454XMfEwPevSMFV69xQtOFmzxV
AyHhllOem/Loi2quzMgfsYxlMd9k7+5Bovx0Io50bjm9yZwz35BgosiSVyJnxyBAeE2L98BLP5Ku
vyhVn2hHFBtUbHrngDNnsgbg6N5PkdhONkaXoC4fphYPh6IHh4AdIIbbju0mbRTzapbRNgroemmG
62Yqj31cQVkwB+vUJqRy69C10rusWJzXuYwd76Y27IF/YXfVQHDdWfd2ZfxWPfT3DKpLlP58NXqb
vX//bP57BNVf9W+110TtxcT6z75r7Yf49wiqM69K4aUlEYtr4ZfVqE9hjCOVHg7t37pf/r0a9f5B
foa+MvbogkkVi9lfsEow0P5xCiVbC4iDiI1nkc7Rq9tfp9BhHgfVsTO/dBPLH2hAL+Uw37vlAOHJ
Dy+5qJPv+JEKzoryUXZwQAZpBA+0Df4EeLOz8KivFkkRR+hRoFFkNHe6HMjjJvhowlTAOHQblkPF
PTaHEIZOGezHgTRsnhWbqHI/GL4enGF5iahlog2z4+1S8Wgro5zqkOokqzbnTyQ3Jv1it2TWA3/X
hnkSMsBIm4rVz2KVeCxAMCyc0c+elCNouE3DH0nrnRUFgKaaLlHYHkpX5wDpMbUwYOyUJyH1qEE/
osstfVoOG62J6Aq6FMhuLLP1WtY97jel83LE00XEmO13qFxQ/r1tP1dyK9MAdTxDZJM5DrNKPTJY
Ejb0N72U275qzVXd2DGJyvmI9KPWXRExTpnLs+3/yIm+NtZ0btv85A7da2+CxKoSgsBKQvLoZ9Rv
Z8A/z1b1kzD9cRAulmEDj68ZPYeCBwWD8hpBul6pBrtqvBwSy72MsUvgJFyHZfNcGvZH389XbpkC
1lvAx7prMB7HPkjvLFwsdBk69x6fUEDJDmpWsxuz7KZR/r0Tmx/ptOCiNn2I5SY9OL47PuWWekto
m8OIRg50KDDy96Jd+ZN7JRLv0dDnZ2cxn+MhYXVbJCRPg6dqam54u1yFDZnNNss+lRF9mwbjsZL0
+UbTPWHAHZbd195IWFgDp7XtmVGiwsnLyp5uorb+6TLMmD1OaziIZ35N1yPnGgyEm0D9FJW9DSx+
HG3lqVxdS6PihzJKDpyDCUuGLogF1141RflNFg4P6Zao5Dy9qx6mAxc5xK+woM+2K0m9Zj9Iob74
jSQMapXapHvqnflQOt0P2ECAWSL5aLchTUBM/fQR3Apz5NxDIfbG9cGmN8bMfjPqPZ7Vnna5pM9J
x4e0sPckkdLaxHSt+86ptqQ4wBflYAeZGpluwzG8sfryeWrfUI0l99xbzgG1nGvM3+xtqchWbD7n
6G4eG/8YpKw+GQenvRoQj8yeKaOvRbKdtS85NqqflLZ3PonXuoMSHwXJvO14eS9Pw1c9gz2AgfFX
IfvChyKQvOZoB31mTa41l/4BQ8XCckOtpkLR/KArIDzeiW7h7xlpaYeAwLeB9pyd6Nd0dbRKbIFL
vZWDnZDA4nbLIi7pYuycVTSBMQOkR0YFJpfnTw9exQxR0gY9RcsPbVSM69DbxNRZmNRa9GmOh5Ll
7LZwvGiTUn6Rue7NpPCqV/F6Mb2XmI6MyINw09GaQePMkRMiNvSZobO8Rc3YEbXt1gt9G0wiuFRp
4FBREd5kdHKkCirkLMWe2eamTahMoL3DZ/RvJKJHGIwfraOey1K+5iZlWBbNH0kmWQHVy6K7uZ8J
FqGNLXm0ZjV3M+rqEJJtpPejjNEb9h+NKuspZjNed/ZbpatHrNrYNjL9OTM7VIn7XNXschv1Qb4b
klDuXhxaTJy+NInvRHIlaeDAkBYaazMQH+aU3Hu0oPDLg9eRYD3pUveJs+7IHUJ+2h69aMspeONo
7D5OmGWVQOInyWsjKhpXLoz+NrKOpNOGVRx19wkU/x6aP5rZFZaE61Rj/lFGuxU4bFJVQ+6vZJwz
h7keyKEc1kpAV4ABmnRX+nWy65jxVlVFrk5XCzCIwP+jbWAJg3djzq8jWggMXUdAvxD8LAoKZr2K
a9jJMRcWGsWBkMK+bqRfktpvs+LoXjzFnnMVsduLF5pgQsvMmWWag1FYT66m6QUVv43MpWoJwWHj
sS002RqShySg4fSHKuHtUHXskEaFST7jWqMpe6R7wcRSc2pMMVNZwPFziwWl3bVB1/rfrLzt3N+Y
0n+fiCRu9z8/EelyglP5Xvfx/xA90l/6y7EIW44wMWh6f/DQsx+3PQfDISBPF/Wew9S/HGNAQVnB
WyR+qVTFtMFh5V9LcJezFHrQ1x/25Uj9K6ci948Wel1xwIreIcYkdTvSH5zGYNDyaVJzc5kN/Jjc
ur2AJVAUXnJ0+qi4xAoQeQSLwYE9wMnDBovAq20JzXsZqPu06T9JD6JzQS4gm3QFiW838K5jrbU2
IBzQc33tQTxYLK7yAQYCh4lrM2O8kNARsN3uAjZzLdSEcjbuHCgK7ly82MTwPegKHlETrJrUYxbH
FPpCZBghc5o82l70jLMNooB5N6fZTQ95aIDfgNuEqQeig+Mtez0KjnH4ZDO+GfxE26wZP3xYEIEP
Y72R3wA87YeuOxWBs+tgRwyqvglgSfjltPMXdKyoggjBiaysWcFZL66yDxExVn+eEVvKSyKSGzoR
tuS3NjXsisgc3uCb3EZRfw7HeT1oxgWsCwnzorEqyvx+to1vbXMNxYj6ninMe0e/WbFRf4FfdTRa
H0GsvY/CZW/wAsqhbDhVQzwL2SSY4ksIhyNl1BNwOew2PyxwOnKv+yjgdhhecYMH9nqA52Ev/Slv
5kNfo5fB+4ArdWPD/1gC/yhDde9qMIgHIaTTqBCVjedUw0PEXF/RVvAuS3XvQxeJCE0g4LiXHu5I
aOWbJRyOzUITOVySxJ+OAk6Jyik1hFviEBxdoUTy9NTTpoabuHl9jjXuxNHgk2zG+8Ck9u5+QVHq
iWAUmJRwql4sq8INME4fnkaplBqqohm36fa3TFvwxV3BaxxRAtc0yUUtywQzTTmF3A9NEe98AVlr
mNojgEbcazULIbKp92nZVSewXcO6RQxlFaBxDfYCBBGqGMItxUSwzuh7k0tybwkLf7JJV0IXHpKC
/TJSrbflx1rWQPpglRTajkQCett5JoINZo0Dc62NvWN+iBWJbrpkyCFIJ90tPZI9RQbERcL2ycNq
QpsdlQlJZt3F3kxDKtk3m/2Wb1iPBkvk0pMQX9VlseydajAGtCkqH5kskiaf8aLOXtK9GJink3PT
4xvk/4s0Q9seNYYh5Mvyzirz5xFpa1NpnEmA5WVNO1EKEFJ90DpZrEyUQVxmbHlbPC2M1aBrpuSH
b9BtPiheOqzJ6k1qeZ+4FL8Vs/Vk284n33+06kqzXc+zZA1dsV2IcrJ+dgHsjuwZ4hxTQ5U1G4h0
lOjlJy8fn9U0/8TrdUp876TKKIbM2G9Bsj+TPd+SXK9v5mCsd0BJsYL2hnMus+ABajCYND9tAYcM
kg0fShiJ5tcRT/amrSHylfqUO7HbdqOw2CXpdAyMbJ+YfrxGK3rD/6J7OKdLbLofyI8fkxqovJzg
o5IOwX6Ds9MFbBN6eAGt2tp5VUZYWlr7oLReuxpNkEcVk4NNc2LfUmMRv84hPWK+ob7HQZ1vHHjZ
ft99GMhUrYWfewpM4rzBC2zdgXU/p1+rN9cqDdeyNywt8vXs2KvHaOSYbSbzvJ0cfu9TELxK7YoN
qsDl+pI7mIScePyR2xQ+wbosuTWb0UP2kiBWTUq4hiDUhWNYZlETMe3XxzheHL634VR57WXK8TvO
mJG8XB5HQABRNzwXpnnqRm9ZZQaRo5gTO+aK6TqNzIcx7K7sInoUs2uuhoS9IIWQaGlgU53JuAYP
K3Dkp09NhA8hzsGcsqLN+ocIlWfHKiCMcAIHenvVmSyWhuioungHlg/h1fSMvblwCMFlA6ykzcsd
FaZ01813VY5g7Iopu4tLGlO+XsN/n0c0YOPPzyPb7P9syub9x/9QlKS/8F+nEUzqFB0CGIM/5ODI
41zxi0iDFcCkmlcvyn5XlEQNIkcDwkgWasxXaOXfpxHvH1QwYjWnJZEjju42+gvHEaIwfxRpPP4c
pi1OI4JNmdAizi9WgToMJtsQQ3sx2faNpEE4TNQbg0wwiMm2uTUWkq5F7pSvtsL+5dsoAp2LUODl
C/4vYyg4ls+sNBd0VzNQL2mbuliEvXldCUtQKwgFOo+BFdkNyf5O9eW2DvyBG74dr5Nkeeg7Mrly
8qKTU7lPflscwygqdg7wo5VrlyfPNvEhSPfYxdMLcNWIG6d6aMqITbER+wdhht8LNTxO0rwy8v4G
KBSLtBAYhdkkpDdsDlkVvO8MYxNx2GVdLv5VMmdvQWdRxEEGOcJAaA5wzsLaidb96JgrZ7I/nCY1
Dl0HqbKZ7HnHGeXTKZ1P4gXJpo0IybU1xX6TfKUGpzhVPZg2Yp3v1gAnFx/jkW/zu1/kl5THB5KQ
hjQ5JQN4MpOzMwUMtQBEceW8Z4m5C8vsLg8ihn47/3Qy1FoeZ6LMqj2Cxg+3Ge9xrIcHnrrIYIjd
5M0Xyh0hGG57Y7q4POvAKlvPceCdBwmjglQ+zm69jCoqiLRJke4zmGbS6b7leH9XtQTY3PMMWxY1
Xnnm/OyBDvNupxYuRdVN7HAzTzX+dcSsv+ihP2C1vG2TXtGdDNIL48a0z2Og63VMqXqlpQOZWk8i
Bn5YaVnBouluQaF/W0zQwzlP2v6xd7LwptOKxPIlTkRGeqjscjsm5r0oyV5Lzo0sUDh+pWb8DL+m
WgVa75BGl2xkCCa8onprY5ddtzKM8jZMAsi6SCaWAwXG4JAxJs2Pvp8OJuKK6gs+4jnfBMn0Utnx
D1fm14EBWYNiQtL6DVRJ1+jf4c7P60TJN8PKvhkVBmqBsDP7qlyR0jxYZvhQa+2HVOLO0GqQ9sbP
Rbqh+HBToBg5gXsWWkICn/aQL8VPU4tLQ89m0tGCU5WG9mpAgxJoUaR8d2zM7zNIZDNaFeaMbx3a
VaRFrJqRmrXLDR2HTxMq1zwyKdeB9RzmCGBREzwGKGIAw1rSCiGIFS2XpehmBfpZgI6Ga4l3D9Z5
6kqxVbqobZw+7scmuQmJL4CRpfbDHS6jUAB++FlyrJoNyh3r6jVpmpOmhffOeEWxx0c4d8+eVvwK
+2agWJG990GiCFYm/jzKNF/tnnVyEoIgTmOf2lMPWSqsYfT6c8nJbOJ9Q9HIa4MSyWL/nErrGCFS
QpP2+DxoD63leKy0kskFa67Imd3jb/motOrpav1zcbw9zGK5zbQ2SthDH1XQS3GjHxatoCZVnhzZ
O66nVuw8rbTqJy5PKeB3KTJs2eMrtXhj7gBA34Um6TBh1geTj4Bn0p2cwXT3/ndOb1xbrvNkOYrQ
bJ1wmpgFiiss+lI/4poI0G5oPljIxeDqEeu0gtzW5Ym8UXbIB0z1WmUOtd7scL31S/ggTPXhakU6
tLxzOkSUfIeGsUva7F7AaFjRAyLWs+V+WDGHb6FVboV6N2vdO48thQI979K4/9l0S/CQ1LSdxo14
LLRu3gs3/l5Fxo2jNfWy5RkRxy9jNFwaPzrQiv5zmUgKd0VAZ2llrlNiwCyPWptMNA7D/CUPDTc8
LxaZIfxWWpmzr2yvefRnjktN7mqtuvwGac7fYh+Q6ELLK3IU++uh/SB5XK+XvrlVcXYTheJC1e63
qe1/ip6sryyaE2UtW0q+KAfv7LueKHLvUxuBvQcnJ5ABL5uugfEirPUFFlIK0Fbx0j/KyTwAajxl
ZfKcoJquUoZyvpvl1ccc0tbzc26Pd9WY3HI98CFM/VOeipvFjsxVFxIoGswCxv3QryacWIWcb4TT
nhC5rpQ5PRWY3wJl3zphu6l8xCKPf5hU5OK8cfCw2IqXnIOlKk66ZF2YAPA0JRZG3KGoi0OTdGAY
85bHjtPxJNI184IDmSOCbE+i8bgsnnk00vFYJE6ET6pktp8769hwgNz4WdJvQTTTs20SLxnZ5eGL
iXeutSSrv09lCDQsAxBU/vxUdhUXYfvfazP9Rb+cyBS6AS4URB1BXOKXExkUWcAzrMfAKTj6rPQv
echBA+J/ruvxENQ54v/IQzpQSKDCtYT91Wr5lxALLhLU762bvuSQ4BFPRSOineYPAWMRSDJzlWvf
RIshmyeCRRl8wWLOcdRHBtOwl7RWfG69VL5Wv8V3CPKYhiRlpqM9zVfMp/uK/LCSJf6Tlw2Rtt9C
Qbhc5BYC3Gkk4h6tyqxc0ruSnpeKvheef98wVnVrIiQ3s1NgPdPlMIvL4B/W0UfpRizwcVboKT1a
zUSPJtpl2GvjU7ZSQsw0z0QieK183UVjTHQZbmrSFM1zmuH5zHVxzQBShRKbiD/VWZf93BVnZczO
YeYtG6s44PWUjVuzKwB3FUP1QY/wt5BJad05OIREVezaKR7Rc3EJJMYBTb8D5QAzBhbjPuN9sllU
/hSHxnfrXBXzuWQcn6TLx5ORKgyy4FHU3l1emlt/HvbJcic652kc2hfHC7eKQgT/b7n2t7CSxaX5
5zfiufxRfv/vG1F/0S83ou4i84GTcFuT7f3lRmR/TZ2ShNoMLunrdvuPi9pHuwV1qPuZpOYD/FOn
/aJHcefS+OqbnmWyb/4rk9F/e6gZhpjchLD4syyPwNTvBqOyVix/kuiWTa3tHeovEpPtXgSIH1hk
4RemiUtZM5v6ajH9TfsFc5o7/Kk7VF4gT+MX8AlB4QDWSAbvsGwTE/BbkRF6osgBJl2UYG7CNWeE
twoQXB6xg4x01ysV4IhEi40PZZ21fqDBQoWLTWaYcZate+RTb4aZ0dMPlDRxHR3csccokiU2ZtIJ
ctuhDhufd5ge/p16zBoSC1kPHggLuLsNMZzBQvKcjbkAfv60Y7/b//0O+noH6Uv1zy/9xx7fT158
/vfVr7/ul6ufNi1mbl5CsEHNX69+8x8OSXf9TtFLil+D7R5wDAJ8prAcHYbXr6j/rCkc/gXTpw8E
w7dAoP+Fyx+Q4u9eRAzVJtWlRAaFBSGV7s0/uDcED+rcKPP8wsHqJAUVGAPT2UTmdSGutBtsTNRJ
kJ2BeGJClepgUmQUA/KPIF8XWcJS17orBNVOUpzGtnpPe8aTVlcUdOdpEdCv1WGJuHtSGn7WERjS
ds7uBmp8t06ev8P/YBrRNQlBRoJ0YWa9yueMtFRKmNvLu+KllNFVTz/JdSHzWy8i0O3jOlwtrrFu
/PSDtpWdDASBufLCgIGH2U9eRzGwGi6ci4dxF49HCk8ZJfvSO+UPpnOW6FPEZpcynHU8pOJoz951
17lHGeSPOKM/Z7WcmaY+sqB9HGfgqAnek9LpqUDWqabBudile8o6yDp+ZD9Jw9gsZfdtBMnWDgSe
G4HkOPrerfIbIMqsNMb0JhmTHQjuAAPVGK8Tl+SbaIwXn+AZi+BqY9rJddQsPA6q+UqCZj4WWofJ
04UEhOPnOyPxv01k3e2hv1Y9VVtVfWeWcpdjkZxdcXFtf9fL6X4WlGAkUNhkI96liHCSGa+DCl4Q
mnZO3zO1DaN94CDxEc/9UwXTfZMvKN5iSm5mACKrOu3vzCnAU5w6+XOtjs7c0lFMxQrqR+3SD2Wy
YRoDzH828J+5Hx6iOdnyz/EO32q26eriuefbCFh3r9MYg6UakUFiZrTGE3Cg56t64PeQJIhMiUlf
Vjl7ZKCg0cZeeTWOwQ9Vk16nePFRlc69wU5vbXTOtY/pBanWjdZRRWgjbqJ7ww6OdtKpa9QC9N86
eaSk+rtnxjCj8rs8Sn8kRfMc+mjCnAYx9fJDHapA0KMGCo9syxSuXcvaSaU9BG6whvGQ7qq43yy+
Xvmke1MNh9SS2bbopxkvSf8JvKvaKEdXX7nVK+y3rS+q7Dqy+bTrDDN3WLJhLyZMG7JtJpYmrlgt
E/ZGR/jVeZmbp3pJcYH3uKVN7ItlbIhVPOGHyPuih5BXXpnllF0LMoroN6+x414TCLovhjJeu7FP
25tYFprecGcXQQOsfcavWErrW1XUD97AL96mEHAG8W72AX4UQ2ygc7F+8u57KE4joxspxODopoa3
srno6dL2dtPiaSc/sR0rTJEeRmgJSc2ex1jm91Au7ZokAPZpPtFVx0K8o16Pbk1yNS7ztsaFA/HY
s4rIt3N6j1sF0xNCdri8k5577wbnkYKzxzQTFAp7t2wzKWYLWQmOFhsJur+fZ48MTJcBa8QmEM2D
c+LwB7FBcw16m81KYczv/F7nk2rtbVlVirebJYHuqU9ras+ZaZwnDpZblkHF1pyXdwbbw1x1QLoc
3TLjxtTZjC6ongYDtVWPD3RqlQiVtJHBmYXeILHIjwPD/NhzBfLvf1oZSIPZzgKo7GwyvMy4J1Hz
2eZcEsrJY1yj7lPV1DdtFiFCCPWJreHi0jfTJnhUUJvUFlCFtXMEDDNzaa4DYe4xxfDb5hO/qgt+
6BTqFi/84k3lWbkj6YCaEHu0iQ2YbbM5PAT00hxKMb/XTlzufR6NeKN3NdsQCObqvHTRpdUWEzbj
3maO5cOY5CNl7eVt3Zr7pFGP1cKzshQPIqwtBFIPikPpvodhBRMnovNBxYzApoNZq38ynEWsQe3U
2ywhJ9TYXNRpG7yBxHxrOjIgrQoPYWZgmRC9Xr2mK9X1D5VHvVGT8vuVRrnxyE6tR7qQkEuI8zQZ
jwrWd5F/4UG3Z9zIV5ZqH9lYPadW99LULOuytH9R/mIehDUK0htWdAVlYtjEXmRTBacNS2HN+lTI
Y9MmD4Uj90vFEjtIxduYTqSBs2RnYwJb0whkrWTlAGCwngfnbmxPS/A6kuSK5B2JoBURrGcsz0+x
zPnVFN3eKUqMaUwxVSbag5k4n4IH/VZM/i0hA25tonMHw2bN7jpLvM3cGPqTAvfrj9dtldErYB3c
KePxG8/bZRYPtMNdReW8oNr2L27Hksisu1Pd3UAsWnV2rzsTOBPOksqH0o/3Fn60td3ELzTz7rOs
Sa6J/aCvG83Zh3K3G7Ct7GQ3JatFSILJFcojXZs0uIcnW5v5WsxOy0qUIWGYuZfWQU3lJ52Z0Xks
upWq8F7b7ktCjHXfwCWNV129oJ2QFFlHdOAQxKP+MfQ64A90i/H8OgXd4l+EbMqLuRgLVV2dOg44
F+BGet57r+Z5v0yTxfMYAycvj2QHnmaX2+JsVfaRp9HJAYyTeoqkW4e7xmgUFjG34gkxwAJVrXHA
En2jVMsKIjI/5Wx+BnP4wSsnIc0x4W8jyOC5OORNfnS+x1aKcpNO2fcpJt9uh9Ee4oq1ItbD4yF0
XqMpHwBB0Q061niaRFuuLAvX1WCAxnCdq1D3a3x05kmo4D4N3INhjBZ7WyA41RQA68zFOs3MJz5+
3uIi+6ym5DQQzd1VrNub1tknXttubOkWO7A8IE8wH23ijIWcqMfXosOqNmUPNv2lTmY/5T5UgDoh
ybOkx1E5uybObqlaQVXEECG66tEt1XcerredPxZrUuqof059L4xmxwNO7KGV88oW7U0RIYS6hPsL
p7MwceUX12/mVYp0vo3hH26bCaccz/0MMhlVeI0DwXtiEVw5ql3FpfW+tCTFsnHcu5jTVyC3bzjk
vjZNdT25mcvAbcAln7QZDE5AQsjIum/q4Yo790B9DmbUMXqqFjBCSUxpheBVm9KdFnRXQVa+2JV4
HYOUd0ThvrQYU0t8I1hFfKKNBvsZ3w6fwQYVa0EWeolPjWrOhIR21WiRw4k9OAcV72jDeeqr4bxM
YGiL+CNT9qlOycq1cr7Gb9gf5mbG9D8551yAVXRyHoRGtKcPjMSWrQ5paV2P5nLVN1KuQ5sqC2dx
XpIxz29lQPCSxJWxMsbG2gyRWvAWQ30ZlUW0Mi/YZ7VEtiHYH1qsm5vGTD5cdjBrb+pv3aqVe78Z
yj0ox/Y6rxvc8nK8yhLX46EU7FPKRPc+eQjOnF99OHRh0I2DhnpyYupygF8e/a8GneyrTWf5atb5
exz7TRLEQ/Xn49ihzz/K7Ef33+OY4Ov+NY4R2maXakL0Y+bXk9UvYgREQmELG/FR/tNQ9h8xQmnu
qulhHnO9X8cxpc35wkJp5E81tVbxV8ax3w9jLGc5qDDY6ZZ4n1Ssrrf6VYwgzjiyfrLH2948gepM
5vuy/W1Y/9P+CPWH1Dg/Bbto14T77tqW4/Hz/v4v4aEikyRtq1s5+gmmHGW3aUqFu1XI28jkZt/U
CI7p3fKV/YiIiL42oU6EeKbNAIevzToRj123JEfqaOLmJ0UlERB1tKTXGZM5uw3InGSlcZzJoBhk
UTqTF89MOmXRKZW4PQQzWdSI/AoZfbGxSbQY1XgxvPQjm9N3g8RLX1XHhAQM60j8NnF0CenD8azs
6OqgjCAx05CcqXSEJquVu491rMbIeU50JG3IgqUYiZInF1FHtmt+vNfQMY+mzudIUZ1qAjsILvhU
MVWxOvwMdKbHy6sO3gU5n5rAD56Ma27jceMVen/BU4rNkfkxEROSiryQUMXjIEIoUtZToxNFFtGi
VGeMonn8jv/3NOv0UZ1U50LnkfzalRsYtPY6KJsH+ASs7VTZAYiRZ9zj7M1beUdGLFwvhJ2MRO4W
nX6yLXJQntX9THQyyqOQaOUSlioITbk6PVXpHFWmE1WOOZFl1SmrKek5AlcWh3LKbHjvLy+CUJbk
17kqiWnZIyfO3ALDlvuaypO+GTrTZY3V0efFeZN1I+03RnoCVocBXdSEaQmFhd13iSzgExWL8xET
zlTTakkxV6DzZEHtUdJLxKzRWbOO0NlC+KyK2dWNxNF6V333dD7NS+Kfnk6shYrsWt35j6zkfyoE
X5NwW1wzo0FxPEQ69yZAoZQE4QYCcUIn4xpFlbYkLJfFKfZ64nM4ftnnywRLV0u2Thmmzxuov2UP
9TTo/J1BEC+SEel/onnh1OFqdiEAYVjfZqpptkPoQtvVgE8vebDIBrPB4wjnDy+pScthPDs/E0Zv
W6TEVZlUdhJu0QqIQnouckzPIWVGa54rT4C4H3C6V6colZcQu/kmKqORi3X6RpqBq2es+6038nnA
IHhLneDRGUhdD/S3wf10dkNjPqVhRrdjQQDe8LDehR2dv8bPzvDeDKxpdLAQupfE/zfTF6nLXRyK
WDoJ7LuyuPp1tUkdcCin5nvxRf1ohyMefCflKgeZ8pQCjzray5TcEtd9rGvrYCzVJ+LhMU4rnNFl
9UN0NXI7DVZs9GggTseOV2mcvCjVbTInyDhjPhf+dtrPzPzXeUnHp2HcN30C4Yh2mBpCHbnTzQBc
yXAhNzd+Va7bzLZX1OCuQ1ntp1KeGd/AMjXG3nA5bnNvriS20LZ0X7Hkf8YmIW+QrQRTOP7mNDkN
EaKIp96NiUB5F59yu38Le8IUPHPum0Jsk0rclwwFozDu59ndOEb4TI3dW+tBmxDmlT9y0Ha925mz
8NJCmKAUPPDnHxRcEspzk03aduk2D+AH4C5024ZOLZqRm2q4cUn4NDXKk8SNQbM82EYfw0jCOSIw
jMvcNc855y8SJO1n2wHJqKcXo/20e67EwXFRFhLK5oJiZHjxgzGmSqSf4TWaw+w+u+Ew7euaBGYS
coy2vaqrblJJcKBUxsO01Ft3KEKTmZvn1iotVQVeDxlq382gpD1mEHwn+XNat7umG1/HMXtua+MN
34W8oyNoueWFV++arH6vLXGMGvljCryLPvXDDwo3Re7h2kFj2sBC9LCbZfEuX3KK3HJvPod59EAE
+COxQO+NaZ9dNZRrbqu8k/w8hGRVF70VFr/FMXqM4xJBUBqnfmhfYUQuVDMzWQUGVLuK7281xLx7
1n7KM6A3MmfTIqlfDI5jj05CzfVM0cI21BQw7vL2JfDbfqM6Fw2moL2uzjoUl2E4DKIbGdWBFcm8
nGETmhEg7IoYSkfLObXF9mHMfHFo0+HWTrv7VjG4OWKfDGpYlUbwPYacj+FAPGJJeW3E9BDajXP0
Vf/KHFeuVLgE/0ulDtawX/Z9Xy9dz1fAPByPRgxbW9J/fbM7aJvsHur+tvSgBIoLQSeH75o5G7Pt
yy/nnv8dcs0LHvcFXDgBOsrFzMsS89e/q2Wo6Cwa2W69AMvwcz3vIuP5/++v0AeZX+xkY1Zn2dhn
423FjTmj4EXDN1U9/D/8Jcjc/5e981hvG2ub7RXBD7CBjTAlmIMoKksTPJItIeeMq/8X7M9uu9M5
nvfU3RQpkdzhrapVED/wspAt/PVJ6iCOIS70/bVe3ZX5cVCulG7370/x17eFP9VPT/EnUl3DVNnX
jKG/NuzbtFxP4Ic5hWTWazT+P57p15Tk/AH49ZnmV/LTX4yxkEzNhl+mZBagZVjAxb5NKZtddSm8
zembL+Afj3nzC/8DYP3t6ch+EsdUYRCBevj16Ro/Gqaq0frrBOgCU02LuVtwGNOnr3+//0yh8xf0
n+8am+Q9+5t4yvygHxcN7RPDI0PjG2ig0vwCjhKfEHsQW7hucHSbTQbf/Qe4SBFkYDr8zxH6k/+A
QC8iKv8N2pOqYVv4nYsGMMZfPiBf2VFkUKiMELZNQxU/7pfPI7gIC+XRds6COANVCdpUbCo997OL
rjBlWMkgrb0XHFbVRafY3dynHbsW99WjGTnHKnNieGfxW4wtamQM34kGaJGBH31R6MmQupU+QRjW
y1XbOZfY7j8SL2VuXdFe2gq2fMEUPlz6Ei6pX2zsjDr0QtkqYfImK+rhrCg/+lF/iUUIwbapln5l
bi1VMJIjEDcPFUMnV3DvjBupkSWd1GUoWEz7QCbUZY1bJBDgsYr2FtGgQ9Om3FW29VQY1m6q+s9F
NpxgPyVkPvndnh0yoA1HpAX7wXs12ssYr+YichpGK2pentFt10PE3EJ02hYAOyV5oNr6hqMbYMuK
3ZCUPnBIftuMAqE6nx7TujvBapsPRDVzrxiYowj1RWBApdMBPFUxh3SNi9Uq6rVXcLIHHLVcvQzC
zlrePqeD9wJt4RZ4+3kY2eKV1JPrtBYFbqVsR0KXEO9c+aspqVyq/byzpXa+oQQHez/0HBf18FhE
4yWV1MD4DNoCEX0ZU3hgqs14v8o9rKCGttB95umi7dGstI9GKHuta3d9Mx6RmwElOg3n0xqQidO3
/RFETAQ4WZkbhJvjFCfvqZL1T7yfh0a+TKl5MkKKW5OEhScCAOnd9nXUuFVPq+BSA9ATHBWRtbSu
hzF0mCJJctwmdAA55dVACGeX1CAnXNkFm9C20U1SH6uGsJRgT1tftwGmCK+Az4C6gjNSbALPdm69
mNYPNxlnHlSZM77s5EgNUSWNBDbx4G+0cT7cW1kljlaStI92btoce2P1v+XwfyYQ9pd/Xg6vXovX
v45dBI/5sRoKnO7a3NxpzWsY/TR/2OPFJxNxnC4ONnrcyqyh31dD+xOeESYixPhUDagej/qugtOS
I1kLsShJxhkz+eA3VHACeX9eDa2559CYFXWHKab+p6NGBVXIkJ2YzsXs9dQE1dFIy6xlcrzXonLj
zU3dZKCX6HVvyGkvoclFWx0MOmK8BB6UQkFsiYA7nuTEpEM26exwasiNh2czTNajZ1+TGsWWieMD
TLu6iQfn1OvU2qX5xvadbRuJM0sMWBWmxG7lM6ZozP7WlHlLhk57V8yMFi0mlXFn+CdrRu0pZIQW
dilXo0AcK6GLQ7DdqZTvuJw2H6xCv65FcpYOAfAWFL1z1LvkAc7zxhtiunalc0ki/9bvAWky/EIr
BFDqJ9BSx8Z473M/ov6mLV6zhucZZbdBhZjDN8DOTG2bKozjwX1VS6xcwaqht6UBX1nsW9WPV6Lo
MW0CjVjSUIr+TLlumbz50Mtn49ui6HCllywwLgzzzYBNbG2pwTrv422VZavBb8Cn1jgrjUTbiTE/
6CqgFk2B2J2NjmvPYV8vto59DBPU6c3bUgvN9UgczFVQSIk6VQY1HOYu61v6KCaYNLKWyY62uitg
xK6eZY1bN95L7dt3ERS+XajoW2P03vFLMBgxBpdNmuwv8XeAYxkCrkEPR+DR0h2n6t1ok0eyBrlL
s2xYGn5xo2nJdjBsyw0kVl9/qks3pxJ1Z/agPTWVgrGCoiFItu1qChCHSo/SNIh4nxFbM7crtc5F
HBE3Tkkuc5LxKpB2uFFULVgqjaYyiYcCgAwo0hNzg4wUqSLRaQAC9UzNdgWX3GFmNnTYPJC5rWjT
wMAqt1Xt59A2wCTuNTP44it5sbJB1O0p9ghxMlc7yj7vahWHBmikraEQ/8DZvKqDVq465jl2l+WH
zK5mysRHTpaaG3l/UIfuqahHC00jfGgFJc2h7uhu5xVPXW2rK6uejm02HNNUnVlw0WVq7I7olb+Z
ea3ZbKv3lAeGTCS6+pk6UfCqfeNsYfEnHrWWYQQc3mDgQmhtE1niSAcSCTWneZkK79yp8T2N2Zgj
0P59UcpNNzapG2lluKrgp67BPOMtiU+wnZBi/GBFwcMpS8DDS/qkekv5Enrhfa6MJchlP1gAWP2i
h8VDF9tLxadirbKF9tpVEriV8gzhBCBbQ90rRwlXG834wkDlBSDOodasL9ZUH0ZZXE2agbY0ERzP
5XnIc3HKKFNK1BKsHLKTjixEyJJ2TxHcYDEnThOOL8K6i5WVMdqHIiRv2VENACO+crNCuQs7XANN
nFzsELeLyCs4AATvYV27yILXgfRy19Sbpd57yxQAnaKY26nmCtt4UQnJvnbcKkYqDZwTXImd1cVn
lEC3NXjXuSIeOpiamzidXhyTOVoDWo2NsZQVEU6Fsi5KSo9tP+2cInwTsoBAq2lLMojOogij2yaR
b05FsLEdCDJmpfXgKw3aTurxJYa/xDynWaUlayF8ZkIkdSbG9Nu9+r8LiIYR6593XJoK36vwNfnr
rjs/7vuuq6FoYGiBrvLtnsEd4HsoTTM/EZ3XLI7/OuZHg0d933VRSPAmq+wlPPArHujHrstWTSLN
xpeJTGGCHvqdXVf7uqv+cUll1wZZK2fbJWORWfeY7yg/3YmtoKyyQSnH06Cjcq61WLWtU2HBhf5Q
p4ktya0atWG8qBM6nba5SfVCxrw+YoRiGphnRDCP5r1+W2mdRemDKT77al27ueO9Vlp8S/V8ej2C
iiXHY+LvmbslUXLqU26aH8jVjPxSwX6f1aQrKSBi1QqrFduutehSTR6ntk53SkZlJWyWGG1wMOlx
iCIfGA0nFsZZzpGAQHwgSgCLvujHdSUZpzfsEYskZY9KHa1akPNyroxu3NOYcLTzxjtQfB+vY4UF
nYA3eFRbgEJPY+Jng2MFS/R9gbA4xNC4rWJZDozkwLdlS9VQnhPGR4U5ZHsraO9Y0lWmrQb1eCGa
jO+MylUVmZ/xns60eUvb5DL6mKLoxepDjjZGp6W73rM8euqi8b5KGw8CTgBJXedcHUTvjT+JZ+bu
6mWCwrjuYI8vrTpBduYMXfJyM+L8CpgWs1eVvVEM6lFC9NyEgYCBV7XmsbKsi5340S3DaMKy451S
QPXPjczYqHZ+sUwo5I5XZa6NN575ODLSFLPMGWrPTW2MlaMWtMS1RvDZz13h7wpP1eND4yHob/z0
axHXVFVmdQ547zoRx+Fp1BANQJtqdGOQ71LB7AGlbM6F7ZTEkbk/YERoxjkQ3ibhDj78tAeY75xD
cj8l5wM7x8jHH8E7Ox7ExCAEKdBpTnwUubOkMHy6Je6sDcuvX9r/Vq85z/DPq9dt8Fo3f3NjmB/1
fe0SYLRn4+zMFFMdy+TE/n3tQsNVyQI5pFxRTFnBfqxd35qFsYzjVDO+msN/3BgQagXNmeAcYX9Q
nYGj/DduDFL/S8eFQXgEzx4JEnAitvOn+QnDXFUvGINyqrdwkxpE2jWjf+gssMtNqZwLpNRFPYWn
OAFNz0xhW44+Jy/6yMAp2O95G55g7NzhBk9cQoqcvnVWjtqnTsnWt3bSAiTyMG9oW7yQq5TT9qJH
ctR17bmW9BNAvVzoQ7Cqh/IV8eI0Nu27BRO4hxjRKD7OGa04lYPxGc/nxh8h7eh1Dp4pTNttVFRb
CJaHOvJXOSHFSXB00KtgocnuaIr83uq7q14ELcYWI9wEk3hNKlBtqvoEikOuLc9r3aJMQaJqCcVH
UEOIs9V78CLd2vaKA2OEraNHqziIbr0OYMMAnnXVFZRQaAZNm3ax7s1U3aa8uAPxAOFOdo8zKAMp
q8AxcvTkCwb8YjMKAJIh4dKFMnp3VZJ/JEU7LNWsV8i+R6cYd9OSQGy8IkWSYEGypIvkNLJ82KtY
GfeBbLDR9cl9Iytln5bZEt/sJeDYsshsh1kH4BNLNicnE3dl0G7ASF3CIVRW7aRg+cMlpU72h6Yg
2TG4uAwBtEUS3c9RpN2MdaEQ2cwtgL06ffOmfjel4TM+viVCD0FdG9uxHoZH8OOHqFQ/6prhRDRR
Dy/CdlwFtUnXsadf2iZ4DCJev8/JkixtPrlmYWwxK3NTynRjleI4zaMYjkmy7EHhMmRhQW4001UZ
KqGV1YuRohUcz8GTN6Y3Q8UFJqceeTHpLVFEWK5lxjSrGR257CMeB/GJhY1yi02at+c8tx8JuPG+
1xxKNaQ3NS2etTY8NlF4rEIn3LG42hSeQsEwRAbJrR6FmyrgiaOmoAsrx5vkHMtwHuEoJBGY7l2p
Uf5cRiV7V8J+2IYVCTzsOj0vtJ8Jm1oCuFhTr4VAAJQ9vD7NO1R+u6uz4r5Vuk1eZ6cgz9f4Hh2k
eSZLft05OC77eVNl57PV7mnmodYdVJxo2JDfG5dRxkAyM7GrjfxWo3Wdl30DHLW7teNkjeurnK6a
7uQp4XpUnZ0/ZGdNZtei87aJRI5qTWAxpIZgCeqLtq3cNicSKuaguhkl8E9SnHG0rHiLkmtlnvFD
s1QWrm2KFB8RGPhU7T5o2iaSlOrWfBXmqxrXbwMkiD63gcYM7S5XiJ7ObbUb6g13gVbK5eQZabUA
qoegByZ6oyiDv5IDYHQyWRh8FVtHjaQRGu/6PvfiCMiH8aWVDeBdTM653j2VU/t5snpQ1DUHAF/v
r+kCn81aJgiNxmxWLEcEWGWbieog/KQ5zAHpZWRTBRMOqMGLLG12Mksjc623hSnvuWmR/A2Mivpx
A7yK35cZ+7Q10E9uf+0qtzPFgJ/bMcnZglgaCdLrcgqv6CcY21vnW0TGqRT9QIgTa7fMkuCpItPb
neOm2OY+wG0GlcmKEJexDmccd6lOrwxHb+oZ1N3Ew94An7uuZoi3rZgHSVZtKZlrL1pI32WekyJv
TC6DkfEUK6btBh0uQQ3tfq/PsPA4wwLB/46/XOYvhWe8BhHur8aOUhTd8gO6TOfqwcxNm1Hk6gwl
r5pqgIk/nMaC5GjoROu4UICwVxfFaw+MWl+6sP8gvef2A67OWsN46hcScVwf9sG4kypcQMcqXsOY
klx6zBeNkJQpcyhfNE1/q4royoOyrkTjcxKIj0ljmlz78iPuUtgi4VKZ9mJmtBuyWnlA2+OBpUcN
wCkOyyE5JIF1UjEpLh1A71ioMTjM5PeZAV+GcIv5MF6Z1gxslI6/UkHGC3bMZQ+cehkO7WnCgU+j
2IzjjoqtReqVW6vabHQDDn1hFEtrJtNPtPViL1fumng5Sf9RzAx724gA0ipxtLRjp+fJZ3ci5Dsd
v4E7DYnNfRTueG+TyEiHol9RA38sbByLto2B29esc9hnpzZBEx+4zDukAOu03vpt82o6PQb7Lr4d
ZyD/NKP5GUEXrozae2/G9rc9iZAk30dKzGuE7N/OiH++dfjAmwnsv0oBQEUTAMUL9yzQaxVbPoJz
g6Fd32JeuS875iohZQJcwXdlr2PFLG4cmb+FbHQLjf4BQ20OxlxIAJ3Sg86lVSi11c5XOraEucBA
SCdaoE/C1h3Jt/vo+ai7m1piYQmN+kyS+5qTyDoTzQM3iS3id+Aac2nC2BoDsWCKFFTNLpcO7tON
gg/atebCBTPuNpmiaBvI0Pau4Q/q1kFyVmmwI8vf7FvKixal6ewhNt4nGfHGMWcTnGselHDyEeG1
Q5I5povBndJ4vmkHXxPX5lwUodScdJtMTXfTXCNBAgc44NdqCUvfGUZ4TSXlg6Lm/hqmFyOwEOAC
TpztlAq+EtK+FlVHaYUGbMekxyLL/Uddluc6sz5P9FwMprouqL7I5woMSqiXDbNILy2e1Nze6kZ1
21OaoUcKTixaNNQkOAhqNfw02bSWeHc4kDMcvExz/4bTqLho5kWcaA9rfeD+d+z+5pD8V9Xy9Iqj
7G8mBj+rluITngEymVQf/28Y//OpmxUcHC96uSBQ/ePUrQPVE+TXOIyrDtZCEpk/JgbWp9nMCIZY
RwzlK/NbYU2hcSH4SdZGtSSYTQusAQ6ZV8EP/HViYFtorqaiTmc9DR5KPaGobBwz0CfsYdqUru3S
3GgwWeSouN3gPGAPYUzfckaESn4X2RAf8maXRtEKq4tXLy0rxcgUBn1xj/te4zCsXnwlq3YNC5gD
8SNS3kSSp2yLmt4FBwuoJeboTIVFwrl/W3M8WqVtRFgqK4COt+ZtH5uYhbvxDEOHfTLTl0XAWacc
8rtxVB7wttxTTtAuVDFBOa/6namM4DbsPZyI5RjUnysCZjLOCG5E6k0RCRYS5UF0NbRjdICF18Sn
rqgwN3rZx1hBFAjg73iG5S9FleqYBYcz5XKvlAyATwEZuOTi/qXs02nZqB5mvcFe+WrTu0UeaOvY
Mi0PJcEYd/2QkyPp/YPW4oMHS9NqBC9ay2UEbbldGmAlFN2h6orHQHWeFcPCLpnolxhSRyPxH4XT
tKii6b4hjNS1WnGleT2g+/xDUPDQVeGNg6t70UFmAWy/09LxIa7bA5W3H2olx6WqjBbZGx2oVwhh
VFHiZqEn8basFcx1gekqYw5QTqitK4vAPouxGN1pLCkhagDdBDk04VnIzanKoVx1VFZ2HAOYG4Bh
mKr1ORj9faZr44bZKE0ig+bSJbdzTH3LGe/sJUwkdDUc6cqpyoLzo9mmm0ZiMlzIJN3pTeXWtTw1
A0dZPefGEmTd2lC9txgvUZwMysLgYhJlw6tv5vHXc2OeONghZ/MjiHgctsqrWmHrrTrOlRoihFY7
70yn7BOWY7hzat2uRRuYIIx0/HtZdRvUnnElmjQ/aMKfoXIgiaaq3cJfmzDhESpKOouBbKqxa9CZ
lPD5v8JHv7EUY6eU9YMqJYFN8dB3nLH8oFaXTS20K70Q0bHIuF34XMFRGvCfeF3ElWqIDBdrq0d6
QlOvikEHqidyaxuyMTlGsR17f5+SAkJSF6+MFuWSsVh4RlwjTCcNFBh64ZoakOIYJqQIsrexztei
C9kTkOsdDHY+pCFQuGMCxx5v5ZBufpol/P/Yn1BodAnGBcXQwks9a30/TRULHQw5SDbtnKRAer9Q
hdKnu99+CtLppm6A7tbwU//p8j8W/lBzpDbOHOrb+Hos7jLn+N8e9XWPMv51j7ptm+a9+usmNT/q
p9EQvhpN/NS99mOT0j7hsmNuZGi4375i2L6PtWcgPuoydDZCzojNfCz+EJMx4WDfB8am6V9LU39j
NMSk5y+bFFsnaW8xU9/YD/+0SXXU5DABcsaznAnBqpLQGoR5oz3aFKNyZ6wv0eAzI1WjAdW2kxSK
SY/6w37mk6VyQ9Uijadz92kYqPI4zH2oXURsp62pioSKwKan12uhNWiZc5Pq0JXFRRikiE280cSn
fbmpqV51AMa7CqWBWcnVRwumSxqyNHlzs6BSdLhZKRsk79m5WY5I6Rc0EYY5bmGc3tx8Q461GYWF
WFySXZeC1Oa3WKlzqyG23oHMKE2HWky3M2RY+g9DihCBLbz3FCPCHzwWc1NipZrKLprbE30nSdxp
blSkGOZFiFnq5Kd4lC5ysOgZK4Bam/sYPYoZVcCIwCMTyg+7i0p1Y9oW9w5VjlR8v4BB2UCD4sVO
WNABiR0NSXwVSvNpKuwv09wMOVJn5trsV+PcGolCTZtdixIVmCBooYLGc8ekpGzSY/uylPKUieIp
CtNyMesPbhjQUNnL8W0KxZUW4hHvuSSEgc+eHemlfV3rtjJulHYGf1LS6HoqRNES17OtVauqyDcC
SVt1epJpuKc1Z61V0/tk2+FKWt0hGySo7IrUUF2PaGctgSojjbBN2X2xdXzKZXphPAKbO7UKhTel
Uay6QchlPb57lrkSApVWeP4rpx9goH6+tGKZLRtjytea2iQnOxHXXjVSSWBCaCuigpHX9GrTEYfZ
hvxukOTm7LGV86Bkh3vrIYryS6umMPFMuGBA4tZTSYoSSTDQAS1p5mXo/UeIbs6iSWtA/E2y7BTu
MTaXFhq/oKhj6WmW5AfVrZVk4SpPawDnvkeUsHQeCi+6jnHzIOvTndvb1XIs62HZyPCVkO6sNeav
1sAVth6UcFkrHknDJjeWfRPHlHIZ7OkCKR/oWcEYyTcw+/q3lkfl+UToeSvS9NSQ5HbbDLiaN0zs
NqXF3MUwDonSX6DePMPV8NjiUnsla/OYmmJL4SP0ZN85Dxl5vkQRTA8DbaeiIsEH1poFuCq04WQ4
54Oy41YJBrSPP3Pge4xS6GVjfx3N2z4KwTvqEjBin56i3r4iXq+uIhxMC6/OuqMz1td6oX+JDMIU
dREQvR/f+oj+Y5HdhhwzXQzdAPsbDiaK9Ne2jEAFzPdqbGnPlApdhI+DidzOezR1dL0IbzO1+DxE
opjI5HNfqD/XFfg9X+owWWENecz6/FGrZn5iZ7ySY3vJONLw9ucQrXIOfbigTxhgH6JKOWh+t7ed
VF2pg1yZAUUC6EYMvlq3o/wDK5zy3JTjZrblUchLL4NFDVXgW0/NBDor9nVn2xWYPeqUxHyPQE5+
xjHOIs5tymeYBn35b3v8uj3q/66cQEdfvBOJ+hsc6fzIH1uk+kk6KBMGdit+7Ez1+GmL5CamCsvC
8QB2BNH1+xZpfnKQUzjOaEi7PzN3dNRiemL4J1PjbIX79HfEE9361XbNNc4RUqMGlS2STVk6fzJD
1+0oaRSyFZrS0gjawq6b52NZYnKV4/PJrWTcKrWhu1GQXhCFCVGE7G59GT/2Y5Mvk6jBxknOvIjo
bYEgQr63H1EyS7tfhnX91qfDQx4NL4VanghB70AU2+xHSbUy8h4wsA5Yu9qkWhoRBk1uBoFbQpb6
Z1MDY2iZtevp6sXhRrLobY/Sj6h6VAfrY2AQvY764jYVBMu0uV8iniDtKNa0IuT7ZLRFuwy1YpnG
RP+piUO7zZV1Bk0Dn2a16WOSJgYzzUXdpnvgWLC1sXD4i4myP2VJEu2lSDplvER9Z3frZNB6ZIS8
bvK7tozUArcn8snSYQac572zLjScGl09pituRcCVR33VUaYIaiW6bqMRYjviUppDdGjV6EtjWe8e
7mPa/mwAnM1V0t0L8jYQP9FLe4csOlesW2vQGM2n4iVKmPUNROdX44A7iabDg+nV9b5UszeqrSPa
xBJmpiu4l+jqZmqISxlT8ZkFFmfuMb5Tg24VW7C564GqhUE1njLos2loAWoBWXgk3Du6iuWsMss5
634BTya/qrV6k1bBOnGs/SC9JwtvIKkXfdzlJMvbzFB3GtUeJA5qejpnodwz84RKBpKHvJ5H2ycb
1NFFsyr48y1sjTyP1+vp2bPVO5puujW85ZATi3UwKNGiR7AvQ26iMBpWVUIJ04qeQWCJ40Wtuber
JkmraIZ8VoV660OWpPsMWaXSz6XvrJVBcEE1LzKydl4ybeKO25k6ofE1/l1jp2dCZBsxiNlITDwt
5Z3vi0UQyXbHfv8orZzsd7Dpe/shVSY06KreDq1/V2TTserD2yptnwhIbknBVexDQeGa2HO4Iesb
6kflmu4NsR6s8Qi4QAV3i1m3baN3uvgWXcVrUzgLrtDe5NYUXNoma6NP8oVBwYrwDr0nHDCo27hJ
ZVnsRvDsR10xbsO2f8sUkuP1XdVqmuuUzsUPomVRd4xaUM5N7UF1op6602iDY2IbjoTbc10/hXX8
krY+81XLXCO4I39Ru0pbME4zeBJ8QvtXxwPYqaYA183pqle7c6DacOr7Q14r5LSGJTrum16oEKu8
6Hbyg5lg+lhW/QxXeUhKVVupYlyXWUxKPlauPNXZRGnGvbexF4GTvXXIKCscUUfHH9kOO2blCf8b
GhytrA0w2HRn++2xa7ID/+e0GhAn98Ru2cfsPhFr+uFGEuPIFzcBTnyxUEz/OZobPyWslUqqTP3r
bRx2z7XTr3unW+EG3ES6/dLY2Slt8S/nI54srXWbRqcdt3gaLY4igoP5gvj/0Rbtja2VCdnGHthK
pT+FbbXr64pWys5D/zUueuTvsKxeRAZ/fZy6k6Sq2R1ktvGyyt45lMMGMZlXO36MRHzkvHJvZRi0
8K3fNAH6YkHpb1YeYrUlkGqQNeW9SIvus5HyVVOrU9iJ85Ck7c4facKKwm6bCDoKHHHDh2Sft6hH
QdWcaw/noUUYsm27p1SUS8D3ybqrVS7q/YFb9kHRVRpqemVnjMChKlpUK2CEU7/tIcLTWHkEz7lp
kunSdAx05uICdIrDUPCRtTltp3Vy76nZSwycySjlrqmM99ogQJmbO00PHro6vJV2fScNLgPS9CBS
BfjY7LdYLZghtdNiItZKGOwIY3CfTYJvmNajGsYHVJCXIdFvqQ3TUdU4+uSl6kbgaYwuXGdFcZZM
VkLL/vjvbPLt6s6d+V9cHXnymv3NucTgUT/OJTSzOATTTIse5m/1Kz/OJTStY+vQLcOc0ZjzkeX7
uQQWOkcYhBvdVnXr6+j5j6s742aLCL5ucKLhMP87BxPNZqrwp/ky6E/wn5AAicSQO/t1dmTYKZSc
Voxnm8LZaytCSmc7t57yxBB7Tv7xMyYka203nXrqx8JbdFNHRFl204Pl9M1toObJht6q8GDSU8e9
sqlIOsAgsUv1KpltmJ2ueUcp6R3Xh4bHd7igli3m2JVK0fpWwZMwCM4UpEibrVboMeUIgG7JwXlL
7kmkNIp6eEmDwN/nJaAXY+ZlC4KYmCpssnjV+OCIkvud/jp6qbVvsdism1zpD1mcO6sq7wdwno6H
KVY9x3qbc8+PY1i4JQwAgpN46FjKHcadCzWaZskuit6LUeuNS5OlS2hePvp18RwMvkfrSccSXOwj
DNZzOzId35PDGJZj6bWv+U9qPO7DVq/WRpFdJN++FR5xZdOY/gROvtX3QaBaq0RPDuDS6l3YGM5S
BWUERyMzVp0Q3tbUCKwgCcf7MuVe6uXdZaqwBhcJdx4s0NNCkXIVxQDQhe9cRTp+kW7kr6O0SnAT
9kzl01DTznUtsNhYxNvLoN5TPvNSFhbxkoT6DsIJ0UrDuR745dS4XscbhpJWcSHE4u7hdY8MhSJY
zO8DLvj0qx1+NsZ3s0V+wCtPaQ1dFaqf40fGSI/7zo1x1kOhuFBmqC/iYdgIvPfia5maMRvyK5z5
uL6vc5z6ql9bODLCHSS2zTCb+S1c/d5s7zdnoz/FDz72azwGVpYeatIAUhILqM3+tgtwltcIpm48
hwewW58t0gQZqYKOdEFEyqAgbRDMsYNpDiCYnnk9etzuSSakUwiUhqyCY1AFOM3pBRT+gjSDrctk
iVGFEx9trROJh1RUdNoTgXDIQgxWjrFwvC/nkMRAa+GCgrQUdXF2+JaxBKAkdLP9TLy/cjGGcp7j
bn6EblPwrUjD+KiZJbdbirDzfeGAc7W0ajj61HV/G9X+Z7Fjqfu3xTh8r6q/s9jxqB+L8Vd2CS67
+SL2p8VY+4SiSzYRTrIh5orQH4ux88majW98ALgQ6vCV/5ijMmJFGmT9lMz7v0Z5fmeOOv9Cvy7G
LBOzFolLmK5S9MVfF+NJD9JA5KF6ZlsAE5xO0crUXnL/i0pPlqQdpzKzY2h3zEl7B+JPwb9XtFcC
8jq3ZbEG9XuTtO0LrisXOQgDehw8ZZXc8M2/0TP7VDhgDmrrmfQk37GhgYGMz1RaNe4lCcbNB404
ZHekcrjjOWrilqXWLImdPYNFw1chDhLmId2Pr9OM3IqmJ1qESzcdGmxn2cqhNMCNgc/VbZnSzDA9
UTaw7QMy6kbcXA9W8My59R7v6ZHJ5hNWbuD6UnwoOBz4cjzEXMIQlSAQOMp6sqZrCAPWgt9sA+Gy
5cJGNiME96TTC7ywvH7X0LqE5416ULy2Vqmsq5rFc0zth7LHhDifx3dAD7RF7xmHiOYCN+qVLchG
2B7UrW5bJpq5MewE3Ma+MG/6or0hVVHdJ3J8TQqAKmZJbUCgPjKmpksiT91CHU5+XEjKmCxlJaNs
CxCQRoK2PcDz2rEL5jjk5H7UvtRZ9uJ77f1oS0qpDRYOPH8vsUp9ZFLqp8Qy3nULJK4jtXuTTsxF
D3WRIjJv3dREBamZNZlOjduoHjc2KfqCEXNb8zfz/YQx4ehHRFjiqOmqK9i8WrDymFah4IVyODR5
OC4mo1CbXW5DgG4sZ1wS8wKBVeZqhUcrNLxuVde44l6Trux3USNFgx9DHdLFoPejAfs6Z2aZGMHS
D8oSi4zDWb+ksjbXP2dBVcIDMcQS8YyTvkCp1Ht12U/1Z1ZQA+RB+TFr19j0yE9m6G3WXCToy/jG
mmmflm5dKQFd9o0o+Bkg+HIleEoG4zmzhx4tu7stWsgfjlJgwCvll6ioP7AHvU9NNS46K3nwSdkt
dO5gagerMK7FoUITJF3a6CtDdteDYI4MVHRrBNWzHctmzVUvWUnPfgZcT/TVMEnaWv2X2hbzLKaH
kp/iEczC2mbm7finxFeu/Oeko0QcJZV+K2OAgZbyecl8F4DEwcw4qOTFpdPxoeJ/uy/mcadJ5ifB
LEeqoKK41nz0GMRsJP9ia/2jP5UXCEIumdL62NfPmZTkX0YlBx1iTeGSHzUsVCteKmag/B97Z7bb
OJJt7VdpnHsWOA8X5+JIoiZLljwPN4TTdnIegwwOT/9/zOqucrqyMlH4bxuNBrpQbdOUyIgde6/1
LXZD5HdKJJZZM3Am6fnGk6i+7sYy3KUR42q7uJyaaj8U1VfbMzlQIdtW1/WYNq//LfK/FfnzMPPv
i/zFPJ9jCylaDsG7t//9n9/9ofMP/bGtsHeg1/aAZRlMcb5TbmMDdWZLPP8x5pikP7YV5Nmwt9ho
MJ3Y9veuE+83MqyxJ+kWQL1vJP9/sK18631+v604hDDZmN/RbZOdPf99H+fDiJCFVYSRcRKDqSJX
kzvebuQjCTjFxq7XTBM45bfjA3ENxkqE5mtjAAf2xnRlqQSSJENgbtomumjJHSWPqzgqCVpvFwbl
ahDycgC6t+JZL3G7dV9Gr3iKIOmMeXadYnUkJWKvG/p1XYEWTWryRujmCbzX+qHAAAJw3LkTqVcu
My9vt1Mf3E0lfaJwxjaVRDHZQ36yQuMELcj3MN87pPymwGB2kyR3qUtZQmQ0bMJ08nW3+mpW0XXX
h9a+gE5Xjc0Xl4XQExP5wDmbhc4OY+CgYHCYFyTQBUt1oOfvVNF9r3XP6QDUKUqjrd6VlNwCb3oe
GYBf6Z0w7jMuiRrZZymGw75pvtYyQvCilHCVMxefWQNVL6xPiSV5ISma110chCsnZwSZRtTSnhoG
l8KmciZlCcxSbU5fmdilBNAgKYvnlJggj670YFQXkWjeo1b1jkmZ7Syi/RaBXo2bqBDuSaAh8B2w
6IumizDuMhgiAwXZRRIWc4qUZm9iiV3XbqQFDdMJr9SQ3N6pShCazkkieQE30uixzcW5gVZyzJKt
YQxMUeIYu35EkJ2Bqc8gLYpHoCy3Odo5mjejuslMrEOmWgVrwt1oIOatju/SyP3CSA4aDZipTU5p
oe3aMUR3mbtfgykhpsnJTV8hAGc1dpQQWuCMm7RD66gm5OXUpjb6DhkFmzZBIZ4MDfELOs23PGyg
RMdafA1M1t101SwoRTe6VVWAaVIi6xOGoVzhN+IoMHGn9cCeE9uqvXYx50GU6ykIkOf5St5pixTv
zN4Sot+EenQ76uLcdWrhRwrIeQIe4e0B7okjmwBgUo4p1IWBenNEej7NH1GsF889Dtm7IiKhkqys
Yjt2RbDQBw5CQCO0E8YAuAPVxGyQz31hNEq3dXvar1FvMk92uvgtpR/MUdMJoHDlylZtafJaiD6D
wiOIzwYw7aF5JDwNBJpJ/00hvWrVsIUsbfIiEAwOjNO7a7vPCbXUExr4mZ5dpmXRbi023baYvrSa
jNZtRZ8r8zJaXxqACWOwV1lT2zt7pFNoK47cAI02r3Wluwct0UI1brsh2ET6wPwr7qrXnr/KmbBh
BBHB5MKNalSk463GSXE9RCFSfOntmZfbft8TKORBUcg6wXjYgR4JKNyPi0LZE6y6jQ3jTs5YBIL+
bnM4CU5SnJmoLRXFOQrrOYCm0JW2fCSB9b2HszDMwIViRi+4M4Sh+4ZjmMEM8YxoCFP1oHO1iDQO
Kc2vNTzkpTZlR7VXCTbynPtpBj7EyeQuWpG/CTy2lNP5roQOgc7u0FlxDpMXcAQsqHKTxtR/g4ww
FI9kO9FLn3N58l0xwyccYRBqNQMptDonvjS8ySBVqBArYGuwCqqVZBbdXMRQLYaUbrqYQRdSICvV
IMdr2BXqGYaBzRXG1gzIyCBlCLd/6MjSXSFcOpMED01zRmoA2eb/OWM2uhm4UUHe6BJ1m2FJxucc
rJMZzoGoaE7/nG21g7cCvfouZpSHJcGQRbr9BBwiBxQN8QNdxmsJAaTorEdwJHi+YYMkzfSF8Qbp
DuWw5aazdcQwZUFaNawz55Lghk00o0ZQq+IhUMqFLDWQhkSZ9AwGZjyJEvdXRZcfMl3AxIJg0roe
gmrjkpbCRjHrTdhHK75TWi4a/2y9RG4cLwVhT0RJwMnoW1+W467NzcjvmGcrZnoVgCFjL+joCowX
UUtonKesiFy7zdLQj+xi63Twqbs8viUua9npFEJFIGjxjozNXYiscAJV6CCCrC7Em+/BLFRgH6PC
p74T7jnOU+wmdnGtzuKG/9ZGv9dGNCX/vjb6v5yYyB9ol2YC5x/FEWdu4h50zAkAPq1ZhfRHA5S6
iYoE0CjWsW+M0T/7n8xqVYNZw6xp+8YS+rP/qWsO52Ncq9/qJuef9D/54j8fuaGbEmKJrY0qzbXm
1u3H2qisgN1bY0BMZGbcIuy80YV1kZviKh0oV3ppRvtQZVnWzC15q+Qop2mwDiQJAO3QBaCtkZg7
Iys7odPXKmHCsyOL86bJMVVM2lWr4jAxPX5XwdgLsHil7byw0WcNzU3jwLyYitKlUT8clRocJwhi
iohJKkuFWeDKaR3CpqWuUJ/19aVa5LfoV62jI6fikOhz59LWMakGgujFzNmYwgsXrkQZatMwZWhX
3EbFTBhXcpiWjdjVlbUO6PWySmksR2b+PtUEYKuZssh0a1sayg2YGES3tQCFMUn6DnCpPdIHa6sb
sRn0PmLhRDtoofEmo5fGQIMabsuSQqeXnY7vuJuR2mnGrBQ/kA452a/G5KWfEF+SIPPWtf0eAnS/
8FRuqJHBTjQgChUHSH3hK0AUWm0/mO6zldi7Uk1MAvdYJz3HOjS0qGNSxhcmBoYFqO5TauNRgivg
azMXojXoZLRhKHZOg/5LBPm1HtLH9ZToFd3JlSjcDmyzkQElQQqs16VON0Rqa8NuOr8KAJNmKYLa
IMWY26juQY+j3djRLaCfh2WouB5SfAnq1Gl+beTO0hUjYhMvH3z0trUf1q28CVuVRVHzHgBPJIQc
VJtaTUirdW5BvL9oSlhs8pEhrNr65Nx6qxLCz6KavYh4ULaMB/Wl3dZ7hgDk/zb1xjNQDKSBVqjn
ymyLG9LMuXAz8wXL02Q2sP3Qf+tSmVGPL15JS6ShDgTIqT3Ctj02c6KnQiWxinvjfei7d+mM41rM
+Z+1cAPo7daXnFeUcluPSK4gcjpGmGfpocD1o+5lkjxVRItOc8aoxey2JHS0HnE9CdVV1+2cSFqm
yBkaIS7bZOL1kbdRGHypI1C0hUGsHsT5m4D21mLQu4eayNO0JhjbJQQ1Hhlll6ONkh0gpx1adzix
oz3lNhk+hKjyO/sDkkG5HOis+G1ow4mYU1dlU6RrzZu/vMEg5IAu74rAugdRJs1STiR+CPove6F3
tP85WS+iMSZESKCgnwZRPobqnP8aRc05wQCw6AmHHeaUWLfL7905ti6EajlQS9NrLsn9nMPtgoyY
OzEH3jHu1HciBv5VfovD07sdrknMNS6zum+ReXN4Xm0To8ey2GLlE2fqH6yuZO2Zbb1NyN5jiICZ
MCGOr8oUsjIsIvoUwpnpFRHbhzkbeRv2UIf/wSZ6TkhsLoW8I7Lkwmq6fWnAs8RmIh0agpPIN5ES
oEXIg2lRkBsoh+4uRnwPQSU652Z3lYb9vTsnDZI4iMyafBgJXyQnjdCW+t4knXAUghE+XNJ6Di6k
7jdIFiDgmUxDRyXcMB9dQVkwHANAm8igM3/oNd/Rq70+RyOOZCSaZCXGZCaaZQK8sDrXiYMqUYov
QWAhWCRnMYuoqc3aJQ49yZ/FHMYYzLGM9IFuy8i8GJSq9GXGU9PCKk3vDWKqSFCb89k92ro+/vm9
Z8Xl6r9b+Lct3ESN+/db+A0CBd6x7q8djvnn/tjEtd/oGyAwtmY+FZ6UD5u48ZvDDkor71tz/EOm
k0nvQ6WHodo40/+N3Pj3Lk7z41uSE4RQtnGYG/9oF8cX8nkXN3XXo0Ov6sia+VNmgfIHBbwWdKJL
G7s8D42KB02a/cKsAMSRALyNHMYucpzlshwPTnT41Qs1y3mxbJJJdxld3cc4D8TRdlXKR8OobxK8
dVtr6MRlnwbVW9UG+cbJ6L5GmYOqYD4QLitP6Q2KZmU4Cw7BpzpJzCdFtdu1FlAMLTkwM08qguIy
DSvvzWU2Nw6ZdQo1Tdmjbew3k2vnd607WnQYHdxiutUdWxGxOHZFSVXRKSxw1ljyBqgtZgqhv2Oj
yR4tNSu2oSXoVFaBeJGwxHwUJTEHaNS3TtLDnY5kddUnyLDRiKzDOKxWEk0JyhOFROnXkmOYeaEV
wTQOjErTbqNNLVFpZugl0SV6h66mhy2KhvhlHNVOqA3RTYQkcsFpDBT5hE/P6S8BTpC0poZmNJhr
1BGuw2Ijq15ZsXdkTIQVkms4SaL8TKReo9lCweXVwfBk9/O0ViEFmyOMXaxDTtz7sbPHG1pM0wtm
B4aahR6rF6C6IuzwmrcJKhl+4UmKl2oxTS+BiKZ3Ox4eG6VeF2G8VxxijHMN229vIRYBrh5qNFw7
+gwk7OAKBPCXlkO1slryVhdDXiJNi/swXgvQvuyFkhIJ2+KD6cTZDprunYGHcVuBa1lEaJ3RTjft
1k6EfeNGVb5rlda7Q25nXw5era5olnvqgklmeRsINcegnXlfFKdX9pi2SImmi5W4mrJqWtjHUlHE
4AOVrVug1nH11VFKsWO8XhBW6QqstJP9HGINJI8JovuA8/ngJGZyFHion2ieAHSa0ECJdCqfpm5Q
Lnh4AZU5RX+C1RI8ulPe3xVkWPgc8uIbJR6qcyQBdxdoHinNTFMKNkhT41jqAS0SgyUgTmKinAOR
7a0ucSjacmFmCIWG3rga7cbFWFba2ntVVtO6jhEMe9gfUZOhrfvvWvxtLVY5Xvz9Wrx6z/51WTY/
bDfzg38sxsZvFksmMCNIvvbMJPrzRGXSOcaJQXMIuNBHyNG3xZhVWsUihDmRdfKPKSYMEeaJOIfo
XBuzCfIfgVbZJb5rNmNGsehrswxjkGR15yj4cSlug44I6KnQzwXdBTWND06YLg05+h8+mfPvzKR/
0UM4l7B0xP/+z2fTCXeCt2U+BGpQ1thlnE8XUkI1pdmW9mecUemuDVXX9K2p2+dxHi9KsrwIPHFo
IbTlyRu7Q51Wd47e4PSm8l32eQIZAGLShWwsb2Xw7i6NEZGCYgEzDPrmsRcVMCM3alh56RJHIrup
uOASndm5VOMC2zQmbrdGIeYqcn738rkDSbIVfkliJnjViKJeebxMBux+RBVyjcmzRfriaYTMMZ10
zAdC0o5QuD2yboxHFt6SwZd1Y+jGtZIPl4piXbZzgJzaz1BY19s1HpiSIA8R32p3QegiAw2lXOkR
KZqdbK8sZVoDZHjw3Oad9J7nMB+fmgnVWdo5xSob4zPJ4Bc2goS14yCRBEu0EaSzL42muSvtcBvP
megZgyV01F8KRrdrCdVpZUu2vGxePZVubnWaZbHW2ulZy3O5nMzkZLpkg44ZSCL0J7WdPneOdgeJ
j0CcvFsQ4XXt1N0GmfQ2tPHFtVLk/KFwH8K2oOOuWzfKCA4kb2t36XjPXpv7qjGsujpCGdSZwAw4
A2J1AvQokg0a26/uCBFEta2jIjtrx8m4mGM8lpozXup9txxGvBh9pEHz17JznUXJGlXoZsrNYxgG
4aLVzI0n+WyjeYdRbEuuqtp7LuiYU3Vel8U0roxJ3Mc2p55QMMkz2uxG9N1Os8DWNob6qhJRtgj7
8T4D4bAZjOmkDxxbRJQQ+Tc1b1qmv+noK5cpTBuskTv6GsQsEUXE3OMqh7uHqsQ+OMYEIyQrXqek
eowceFu5Xd7aEtqAWTvptu+MDc1+9CXBmram1/g8YhylTBiUbMz1C7GVYbOeXAUVp2UP4HTVAbHm
YtSbUGxN8BUr1enXmtvPPcxm2GcZI0d91JZqoO0a03iDtLiLLW0tpxICLbhKeZ9axtxp7WFKLJgo
W6tu0OJVmug7ozK3GkOLVmXI49YvgR1fa6nyTrGH6xezV8nTSG9d3g6haDm39Ssol9oObC9Tgl4e
XKg2q5mQbxFmRadUxvSNw/7JThwBCLM6hrEaLAXiMM66AIQFVN8UfbEADNQ+TgFNk4GsM5mo56Qp
gUPyyhpFeqaBgfNF2U0ZQ5EojCKf+EHGVzJ+s3vUkKRRGouh066j1t4MABPSKeyZ3NNptqvHvvFp
ruzgflykrbIdbecFAvIzGqF06WQjvJnsOTNvZC/o+Xf7ChF7pjCNJcREX6vzSMekSpsMvyczFDTI
utEi5itTJTeGk7RrFaDaIpTmcwGCuB3KfhUoDWCbvsJrVJzGsn9qSlCI8Wjet62KWENJzPq2JNYi
dE3ECqU+h138Yhn9vv81r6JsF1gBWYeo1OERf79cCwQAZjDa47kfl87C3AT74aY8IgZYKC/FQ+Wn
O5oZi+ACA2u3SjbG72Klf0Bt5/KzsZQsZASI1ifFSxMQcKjY3XSWzksV7DwKXW94Jp7194riH10H
0zWzWH0+jqif/Bdey54VD3I6axTxsIOy7N0LdxSzv7jO97vf7x8nnyd7IMhyh4bL9x9njW3NwkWu
nm3rorFPlUF8ivnw8+/M/NF39vFmPl2ki1RV6On8oa3FPR0bX27VN3c1t8SOOc/Y4hpD3gIe7/bu
0l1li0t5jNf3wg/8q2TfL7Z4FA/tiv/jqlzzX//+53+f/r3Z5fcPAScoE2/wBx5wsu8/hKxDD1qM
qnZmuHsZXGGxOmoP4R7DNKG5q3Gxf9I2w/KyXvdby1rmF3jWrph6rftFtvz2p/xXCzcfs/++kLzB
NHXoYvGv05dYVD9QKM8//p9yUvN+Q3ZmIQ0Gh+PBBPpQTlIZ4kQ1OMarBr1zjt3/6dBbvznIkihA
VWpHQsD+LCcN8zfO4vwYr9tsPkbz8A/UC/ye78pJC100AE7Qd/w+rAefqrwGT7RgRBCSLQRFTb+I
zegXryx9jO+u4RI95houv4iSFT4oN/X985prpepV2Thchimjsqjz1oOuJ83ayQdAnYPdrxzSAzYT
uVy+rVQ4kLTWtW70tqIL5baefcTY6okdioP62DWKiyKuM+z6aEPuGHxTdGO4UisNz5ToVRJce7Xa
plGe+w3D0c0w1NOmKUPd7zUyW5rIrH1R9iy2Nv6GQtrnxCnCDRnr6qpjp9/E4Hr1OTUmUTZFTmP9
pmim6CslrVwbWsy8nca0qvheNpo64TMZ/+RrlYl7KzJz1bjB04qVpKqH+qpFSdDE9bSeFI3ibYge
jUq7iAbqXmYC1I0eO4CsN3jEDj3S6oXTKpe0F+6t1Lhls79p0ukQFvLeJkoQkneNxiI2DyRr+aFZ
H6Io2WlhmO60BhB2ONgXhEsyM81nhlC5UWMYUirCxqkc9/hMnqokGZdZ5tBWYNDZxHay9Yro0A3q
l8hOGQxWVIBmQIahm2nveHqz1eh5MIGQcsHjhhTG2HzdDoO1IZd+uqjH6kKSUDjk6bZV4nCTZ1az
ig1Kuqny6z4+5r1l+IFhMkSBvjdNzS4A3BFZdYYEHYdxqKS7ZiKBORQaA+GBpTXKbzjFXUTGjMgb
Vft1lCRAjg3FhKrb66HiUaVY8k2zDYlBLlY5Q46hqo+9yZFBQ78FuAm0HGwo2syJdWOZIyHTg9lt
aVljUA48Hec53WB1bI+1zTAI895OpgNqxUx9N+3uTcstd4N7Kyc2O5/TnCCtXlWFS0TbYMYWGFXc
Hw6tJi9NNCag6muqRLvJVi5bzblrI2VWqNkLdwS1lbpkiWmHKXevZFGsvURfJU3gCzLOcxs+OSXs
xu1bfVUbfPAkXW6FKh9oGZXg4tG3eN7zZMsjLC3IfJSXVqaeJ36p1DAHAUqcTEhqlfKiC+0dwtuu
NKeDEcBLdO6ZpJfutHc4OK0t2IyNY5ESreF1G75I4rm71gVMlacHSx/PYUAuHuIdewHN+ykL9ScD
fdWq6bWDZ6LI680TDZuRqfIymjqYMvi5nUi5dQdxZ6aS0jIFEBOFZ1PiJ4R8QqqUjJFKpjugBtli
ktp9pUS3rpvf0YRmMtevnbD6irF9X3vKfhiohUVi7+vE22QkHEGoEpwdNaxtndlem32y5/4uLMpG
oyMJejQyfHclWnDdqJJLGOvpdlBy/amkV/Yo3BLo9TCOwR1Q2vR6CJj4DIzMfaq9hiF7G61qJU0x
46HviVqUU7VO2EbPa3GQlRVfduaMbMyYoYkl6Lr5DdMw2FGEt7jU68D9MiEJXkWWfa8IZBpS2JdB
hCA9yODS4D0QPMzGbB8g5YomWbgMdeu6VRF3GTXD/lBWjCa15IJp/U1epQiMeqZ4shLhOvXMR9u+
SfjmV3VHyK0zhwS6RmYfAyI5/GEiGza1yy9miObUrseIVw7TpWndkn+S8jmOKZTO8EBcycSRI7hK
2/JLN3jLBMGomzDVDBT1JrD5lo3qmf4ugXXJVibtV6fpT3ALk3VIHh0ypuxJTzry4p1nhrALosOZ
uKLV4BhPckrL0G+RzL2ywCJuixR6kraTWn8jnGjYVEAIk0I+SSPYMH6p8BkinwYvWDV8zWlPpoHz
AC35Hn4gvEjqUjTON0M2Hgqv37Y1NlClTx5C8Hdxzys6DEdJszjMyX9WM/u6bacT1vunIbIuS0gz
rikf+tkh0DP6cia5liYD24FuAd+GX3BunuqYxlpib8yE+LiBbLkFkXS7UEA+hUuAgtmyb7SJb01k
2FbDwrkF77ZvDRt1Taxy2o8uIHTS/YiLcxxP7bZMwgdrrJ0FLritNQOTSOlVuuFoFNx9HjkHt3O2
TRoylrWePOQswVQuKzc9MQ7Y4qWjURjkwAhIqcTbbvXxtsvw5dRd8KK26Z7PehVPJJF4urc3u/FK
kCsJk1jsE1XZNpb9HOBck2D1TMajDJ5WyPOntWCgB3MtOqvm8BWYBJIr7GuqyRlNhyILTGpTB/Vt
XrQTyJ1yK0MwADj2xwNzCnQo+qFr4mc7IDW+AUiEArmFSon+pzTN/kz3KFq4TWj4qds8kpcG5E11
T+qcdtYXdT1T7EEwkJu8RqT8GjMgn+0syiMycJ6XiZPWiMhtYZhx9jYQG73SIXBBsxz1Yw+l6OuH
+uwH7axP5wZKEI+WnW7PiBcPgs884Pg4wEgtOilQBy+T5M5O71Pvi2lt/v8uMVdaHy4x8hTbaccl
VBratnPqqhORiD+/Bl3JD9XaXEnNt2Fjd5+FG9Zs0P94DV3v4Md6cXhS4VO5oFZQcg23irL6+WXm
Q+mfGPXfL0OyCqoSzFmm8/k0FyLjMpxUhqcOM2udRBSGvIf1XWeee6ktbAG0wtp/u+Z/jxJzSf33
R4nje/FWvsY/sjnOP/ifQ4Su/0Y6hAFMgTkhszj+1R8qHxOVj47Khq6wirWG0+K/DxFMAdU5m9fz
eFboSM+nkj9lPo7FPE+lHtf/Gbjansv3D0+LpaozsJogEpdBPvGAnx5Kh93TzfVQOZHBvezamLaX
Ob0HPfqY1MrsRWeoa0tL1s04sxkxuzTXXpNDD3WkgkzWKQvnOgw9SlZPG4maElrzELixM75aioub
LGJx1HXyl5KaigjX3bQJ50QKASZwgyq7WQxN725YRAaA0IpHY0h/pAJXX8M6y5e1PlTrMmIq0yNF
pyyGnIZ7Y/ANhwha9M3NM8ppDXMOmNEpkta+L5x9kpDP2xvNjtgyRCydsun07gtJxepCgrdH90me
KuRbHwHccQxLb5E7lk+PSl66BWVMjkbEZ6xrbJoRHs8IzI/MrgE9EWMeYyTZ0w31aaEHTeVPRr/S
20GcE1EYC/Tc2ZN0rfFG0x5Af0IyVdLLuA6jFWL3KyyUBQpr7TgCQ2ZeGJ9AFL+KuMedRLvUbMkI
cqUFItUdpk0LEGJfOIoFWykedunISUVYNbsbJRAsg0FFC1C5c7VWKSdSf0cSZLxFguJ42cbmvjYB
+qSyHK4mN3E2BfkpV4NUT2UVRVsvpaKhiOCH0mmK16xDBfEhRkEubUIls20CEDOT7szRriiOVsJ1
5o5eFE1EjTFcvbG47Ab9C+FbPNjFrmgkbkhRxvvAVtxjbPYoDvGW0oPkh4ujxp54pXURfFs276iw
X8ImxypEnABJvN5TqqG8Ctrqq+qRVwaW6JAFETLfZDxlaloSopx/jSaLQjtsTxSy4zKnybQ0GxfD
apGyyEl718ja2esWkD+ZjIxliVeEBbQxOVAS1e4utcHq3IU59ro3y3h7/oBW72b3mASxdJRWpexZ
P5daaWQG05M5DLtRx5kANFjGUhdpCGYkaw/osTlx8qCdEJTZ66a26gvbLOndlpghm14nDnbqNkZE
YxQqX6tCGMR1JvY9FGgmwSGhNmbgXqZ4CJTce9MxvNhJflV2kG0V4ygqB+OBrlSXI7riHZJOjkPl
tFUsdo8cEuGtmgSB77rvLVV1nDmc/p3DGOHqhfu+qYfRt8tpzT2f3LE4WHn+jHDugk7fIY/ccBl3
VnAsXGjGqKoNiNHhTTQOIX7YbNckcpvWfElu5OyrebyioMhe6Kn7EuKyWbR2fBpkiSy4oPWvtDIn
X6Feana2o5nou3gR88Zd9GWqgR3/ajOW7rCVNpOzZoaMMhoIYKir1xVkwKhKMPCbxPEyeGIMvYha
i3CdIbtzsSTrZndnSxUBOiYI+xTAsNkH7vS1qrVr5lk7hyBYg14B5aqxVCOOF0q6TKR8iWxjg8Lf
xytGMC+4WpEW126pv3kp73CeGe9YOK5NBuyrvK6OI4d8JTXhjhvLPOmw5EF7ChnfyAmeAerg12kc
b6E/cXBMkx3OgvNUDqd8ttrBZgiGcouTgbwrLp9Z6lVeDJdjPS71adwVwSwxY1Q2KVCa0i1m+GVe
kc4thjU4toGVKH61XcS9CpN5ouvSyPHHqjxBcEAHpJYbrdVxh3ThWYeyFctwO+AqZkR/kHJcj1n8
UqMtBE4NUCP/SmGwDBptxaBzGbTZe5O9l0F3PTBnT1xkTJjJwC0/WrWzEjha6Nf6BTRLM9BPzFNv
RGuvTVgNVjhcm4N3myWTvoLVJhYlxuEcE5UXeDyBCJI5F66pOb+OdXzJCrcm+RE+sbuyXfjsoYh2
4DW3BI8+qlq7nyz3xmaS4EbieuamdPlbMVbvtUruLWQbOGvxmsyStQjGVRqaiDZGsqGjK7R/x1Ia
13qQf9UUsM0NTRESWSpV3Sqe3LoCpjNy0cQqDy1ewYa/1CEqeGFblR8oJDKp3ZpX8VJ47lozxN4I
aKIM6BErPjBAX6uy5jximvpr35WP/CpzPeBAZkKGvJ12xArY+nIs+hdRiGWBWIIglN2kOH45QvGQ
TUqeLpsEJ8d66UWIFzvbITdAPuRd8dzWRKVVDvAOx68iE3R722wL8sUwEnKGtsC9J5LpivpQNsl1
Ceo5MId1HHR8dp4f4lpwWoun09mg8rsqyuyiYh4mle4mi52tOwSnYE7WNPO9DDQwF7ELPY7A5mw8
k5Oy4wVbVL17lTTewdCGp8qmJdSATNU99y5o7CvRiFMhrOtuQMjrauKmY5glK+w9zdQtCis7ZFa4
BySKzDcLj828UE3l45i2FzrW2aoiPQp4bGL0S9HPRQ8Qlaq4a6pxr+mY9nQzOikBWNQQAOgNmoph
OentvlFVIEcYGbEBKUryhl/iLmlzZ6f3jJk9p30yLTZ1k+N9Gfo4EN7snEFUWz+mTbTj+HJivY2B
D6YbjdwqgGK8lxm8wknVniJLVGvPSG9zoHSLekg3qaGdYQIQQOGBci17Y627zjZI7WWvK7kfc6KT
4FacsCeEc9TnvE8ST4vzENqbJBjwD45vlYJLRiQvbWMtKvY/3gCQA4l0/K6jNYN2CFEyzJi2W+ao
8lcD9hepuG+SgAyOnptQOmuSGXwwq6w/Ihng9k/rIS8uxja8aFrrtmTih5KZRE9URC1ZeEqEQKbQ
SWpXgcPQXWq0kjiF9jgp/ZNoqtfObfwwIdUryDham2QT5Crb34eS9tenr28VIgJ024EBpnne5ylU
i5eL9mShnNR8GycpatZrhc7Czy/yl6kIZahBAxeemElpq89npw/nr1jJGVabmnIa3C9Nv+m7p6H8
Gho0B3/V0f5RwfvxSvNf8uFKZVCO2hRwJd1FzDX7ccB2TbvSvk+655gZ+c9v7NPZ9fdPj7cJ3zwQ
UnjZ319Od8vODbIyPEvlue0u6vC1yF5/fokf3RHVMsUyl0Hi9+kSge0MqjdW0Rl3XtJvunH0swg+
YriJUerq7S+yy39wRwSUcGhhsmDqfzmNy8IW+qi28TkuQlL+8MLP7fdf3NP3kw2mZCrf9oeLfDqP
i0BpoftwkYQpcNsc0GH94pj8q9uY//2H50C2E9ZwfK3npjraPTmaSNOc+BcX+XQW/8ttfPpqqnRW
C+QiPg8KYb/W0ovPZLWwwD1Z8dIWJ50Eg58/DD+6Laa4WEfQnFoMmL6/rTQmF6XA9nZ26itaNoin
d84/7Md8uysDkyBonllP5X766ALLIFRDNsm5EJGf2wyAUNxldz+/kR99dOTOQYk2NCJ/vE8XKfvI
ceKYJkxTPRX2IeKkiCOAqDAEqBemhAcQXP38ivMz9ekozBL35xU/fVn4FeFoaWNyVqF3S/GAdPQX
i4H2/bcz51MhTiPnm9Rbc9aAfVp8RGlinx20/JwcgMrv2DyP5dLyravo2loWfrx2l8r653f1/SV/
f5M+3tWnS0ZSBUBRyeQsbWQtYbzQyarQy+3Pr/Ljz472lsrOiVTh07dlTzCe2lxNzkHtLXXtYgap
/vwK86f/+duB8szTRh8NttOnB7sSeqyNApIhDe7F6OpUm88x4VE00H9xLz/6xD5eyfj+FeJETKy1
YydnzXqP3CsruKmnXyxvP74EqhLkHbxJzqdHLdZS6ZpTmJ6L4mR16G0Zzumd/YtN9UevEA/bH1f5
9NWnjWQuwnzxHKevmbINDMUHyGal3RLeiJJuMusX39FfbktXTWhZ6BrZijT0jd9/croXOGSfl9m5
lZu6ecaTXk/XP38M/vKgfboEvbSPy3YhQz7QqM7OPaE2+IVWY/Jvge3fymF+fIn/x955LLexZGn4
VW7MvhjlzWI6ollw9FakpE0FRFLlva+nny9pdEkRUo8GXGAiLnvRM02xACQyTx7zGw3tMRAxQrfg
7UtEw8DMkErrvE7upAnH3vA/fC/vtjKfAcIf0EuDxht497cvQOi0eiWb0nPyvLQ1XMbAIcOYzHl4
XKt/urIKh//XXdmDbNyA6hB/89KQVQxMxi0TIAbrr7Fn/27IKjbYDRqvADee1SVeGrKahX0qZuVQ
CNFNecKCvDRkAXzYMAufWZycuD9BdSA/zwb4O9YBQ0aLV9A1MDMEWoLMxdsNQs+oQIHZak7T2MQF
O0/C2ZCnqGddABycOrSancCbzLlOdA+yedzF/dygSYBjCXY6We/qY4iKWmmH5XgWAUG3aOWgh07p
ogxmCZ3ZSAJtCUg3xZRE15OwvoAfBQ9hJnlOnn2dKpNxgdW2TpXNLEjcMI8Mg34eup1lVK+tqamw
92hMprKyOwxVR8ENrb5aRnXh4JkhBxipVYg49L3+qcxJr2yUFco2R9NCjyMG8WXfHRFpR0qxMDu1
kri9VMy4/yYj+cJALAr8b51eDYsEvsAxtLt8Dq7WO40kbCXQFApWiP6D57J7bbxA9RSiZJv3J3EG
9YKSuplVXvGdSTJWxOBVqjUca2RiGl1t3cAz1IPAiJprtS9TukaZcWdPibPsgqQ/Ri4CWbkpXCaS
rl3akwyPS/Mhx7UyRn2UyCjdN410QFgfTyu5wggMUDeSdkoB569OEZklofnG19SsSk8mA1cKMM2O
E6hftanApXmaEKyL1Vb9FtOgPWrL2j8Y46j+LNA8MwVM4jmy6v5sstP2rG3jO5Y0Oyix5rhSqCQT
N5IBQOp96NCByYPTMaXc9EdG3gZix0sHUYN5NDn2KdNSY4XHISiX8VG43R/vkCxOjpExr29anP4W
tRNlbi2FKjKcSjLRr6/jxeggB64MpXmhxOgVh6VRn2uhVsyaVs6PyD5pqtTxoTcyYGIwbi9K9Pa/
93qQrOwi9Q+HPERWGA1c6ST0TBnQeQ12Ox8xy2saLGHL0c6WhQ//H6/vib5q1Qx0mh3vMKkk86Z1
pNtcDtRjVbKLM96+R2sOZHKdq0JOtJLPxikAp2v30YEfZt08R/TwRK+L8TJAMH/W1X05H8N2mPvd
5C3qsq792T+R9ZGDISjgv46swjKqyOs1kfQnxR/xdz+iK8JvsNotvDN0COzCGurHuEtGE87QCDhU
jiSKP6ZdBFfmXwrk9b+Z8C/B1dpTbGRLHCpOXFbhYfxJcOWs/RRceQUHx2pk5DSycFX5+XqvpFi1
JjU4S+VJ904CtTG+DoqMwZpRZZl/jjimcTi1pfnVDPS+WjkSgt00pOm50MCub5xAz68cJzQm2l5t
ny+0zGpua62FaIfzp4VePrMdPZRuBpXR++BPupuoauyqg3lus/NbGKBtZ15jKy+c+tZqABs2HC7N
2kaHGT1aNUnDM3WE863E5nzovFkrVYeBGWFzWQscStVhfSmP67iscJnoSYhb+Mgo3aLrMeLggX6n
vUiybtiXMsQzjNY50H0K6a73VkVqXtLfvUzB7s9izbofveF0Agwwgy68LrPyqtDUr4EN0iBnyrTI
MlRWmHZNSzt00AXpcipX3cB13jru7PqzmmJdbWbJcVohxxEgbV56aGvqNUR/HU76ftoXtltM8SW2
JJ8Q9SlOtKoT+CGQ3pWd4YabjjWaAB0c6aQO4akPSBtnfnKc5SkafMVn0ILojSswLVq5epjqaqSR
hx6PXberBMID86KVEjezwrKixSg5rq4TUGxVXbS5AAdFrEHpKb3rM5lbhRn/lw4BmIQrv8lwyrSc
+MJGyM0ukjslDq7NHH+8pon0Y8/wDpitXYQF9nOdYQWulwq0G0HM1yzNRQj2MjDNa73Cxdo3rHsz
z46mUbssRltG49uGTZZBry46wXb3h6OMAWsjw5eDI7JMQmmgydmiB4PESltmN5GJo6tJxrlQhnBu
Fs0VfDOQwT0BOZDtBZSH7rS1IZlYY814tdIPmtiEk50aw6yK24upY0BqaMFpxqRhv5RkwCBj+6ka
o28eAuErM4DviYDEwqrsW1O1P1ue76r4gyUppeEg3obcXSIauCi96SyJQxjd6sLxztmsOabl7XHi
xOfTaH4NYfYvsnhSFtUAd1x34uZARrquMdl2ihEd5yr4T1Sf9tEPupWAmu03oGNcBcEsV6pgnvTx
qVGkZ5pTHemOed7VNm3PrkIGz9IXklZ+ReYGeJYKAAzMoJkziurMsxGiPpQEnMIcbwHqBS83r75m
vvnNlIYT8pYHJgXXdWMdUMMdRx3cCjmwTCR3nBqCPt+DF6X3icLsVZ18iylq0s6KzDzjwwu+XvC5
rAwubTk9Uz3lvCTdQNb0myR5ri1IjFYQM/3Q0vMGs4zjTMMFLm2y28BkEoaLFfLgcpYcSUmLSWUw
gtOSTdO10nTde148b8bkQqm9z4mUjy6oYqZCjr5y7Ok4yZqTVmF61OpfMENeN5rCzIQX7dWLCJW/
xHMOggIJ7gTBakgU2E0jReDhCGPgdZnpdrYY4wzbHJFhKXg5GsGh0zbaUahUiDsMsVcfDp0CgWXK
kI5SNehXCF6ulMi+bdMMoYg8BRVUhiQzlKQx/l5Y4mQtaFM/apfFoKvnw6gfMjFWTgMOl8v3bpxl
oBMR16n4ghpruJ3KzL+sFCU5gpBpIPTdFjA5pWSlWIDxCmC+SEbVHsOGzmwCUKcaSEA14OXHQlYW
UgRJ/5+r+okuSd3666ua0NNuuqhl/urlosZUHZy6DCHyUSxbIEx+XNQqFQ3axNzHhk7RQ/H0Am4H
Ea/o/EqAVsCxCxbHy01t7zmAjgh8Dg9Fmsb5k5tatXiRN2WQQS9BsXXonLwFcO7i969atEPv+dj3
eviqTYU1gs/NUxLrQGu8M9V0GfsitSep8KCESlIbXI3CByhGvXWWqS0OV3CvmFqV8bx1Gn1WGziM
y72wqR3wFWoxGFKE0xByV+upxHso1YJ6VmFHRCzElwiDokgYFQnHokJ4F3HbhXNb+BmFDpp+MRc+
vhG4HfXC9ygQDkiB2Ry1whNJscLbTjEvQsySzITkOx9mWTctw7Lp92nJcTlgsATD6ibHcKkWQI1Q
eDCpwo3JEb5MIQZNTlRdmCaOTS06YqhNqOfYR3Hiha8Tmp3ZTGW0gMNJ+V3D/AkbogYPbosg89AL
d6jRKOcCpTNL0uxkUDGQyhiGI65VrPQ6w11KE33vglOv5ZKN/qoD9rIbjrQpjOYqBlWMLrhCuyMF
6ryCgRV0imWtgYvF2AptNbyYE1Rgq04M0yHy9YhrCJr3pB1nCE9NBmPa1getG1jYKiFOZQuVqiQp
VlQs8yGPrhNkrJomuygq+ShA3spLMQqujPQCCVO3FQpY8hBW2bKRkC23zeJQMdJvdJ3RqLG8YxTW
jrMuzFwddTkTeK1aXSgDwMSvcLthDNRa7mcX0tSMBeYuKF7BipU/j1MEthIG4R0qyEi1kT2Fanvn
1MGCNrTwKebXeF48oLtXuxFITIDQw6oZg1M982ykwAfsJprgey8JvVF7/EIKfN1Mw4XSKV815Ebl
fPoSQh13TQq6ueXr96E6HPayP35NAnLJsCmArWgZ0h/cdoaM4IlRXTBVX3ErS8etVV6PIR+rEFID
vm+feQN5kR1MCIhANQxwKTFi05k35iivJuu7EuX6PFSam65JgllaoDub2CrSCo62NKTwsPKm5VAo
xqxKu8qV8uDOj8uJm2acFhRRsNdGfwn+5EsI7Cfn2DDmJi+zmWoXVj2hK8O4k+L8YOiZYNuVhGK4
9LnCOh3kiALaNPpkeIE/B61moSuEqotjz1S7WjGRtVyzyQ8zQ/hDpYXblvDhISt8r4PmrEj1dVcj
t5dQJcdjdGqr8lGhBR2XvXOU9Ym1jwFoB1oWxTlB4o2argfZkuJUEuB9qjpYEMT2l8nK51AXDuTa
/6LFWnE1oQ67LwW2gFYYnywpuBoQiQLe+rkMdGTVA+dgGsojKMLFEYZvn02U/ShXriTTxDfbPpPg
aQay+VDo02maViuq4NadzHGaFUrWzjrVv+w6lPHkHJPqcFlFgTOPGfjSAhnMr3VXHwSAri89m4EF
dl4L1CePzKaO5/9cbY9Xm5gx//pqu34I1umGGlT81aurjVtNNRhR0Zh7ZC39uNq0PVIuGWiszZSM
kvLH1QbkUjcQLLd1RMuZnr12LkbnnHahJTRbGD4INOYf8LYY+vx8tTGmNRTxWpS1pvl49b262rKE
tnPC2zjrnCCuZ4jNfvINeRUJTcgWcUgF7z7XkDAY95ByHISCJLbDmBEhKtlw+N2Cfs3Cj8ZrW8rL
ZRthwpYptNhyM51HyFP6j0KV06NoJYZYrTTTkLKs7Um/HFOmxGZlesfMv03cGK2ZWaqaW1hddWJQ
j4AiVJF3spRvjVd/l722WRV9hpudkNM0c/YxjvGXI1KbuJSbF6VQ3/RjdDjRXkF1FeUWgbBE3bkF
bjE6XIcp78oeYjywWomME3XPSOh82gh+Kpk64PTYAcFrMnBnJtkh3pNohDa4Du/HQjfUU6moB6El
2jClW1kKXcuCl5/CBKAKSQSvEmKDRNd2v9KEj7rWoyDunUV5AHhDXTUVLH/sCNZNogHT8ymn8qYz
9jsP0I1Ru1AxjjpJRi3W1LARSvG2mwIFUGBbzW1o9m4VmN5ctqVPxVRfOVW1KijHDoxyOq/6GC68
6dxqpXWXV/lpCcsEpEZwyCjr3Gi8a7+Dk91jftnFzveq0A/k1jkhINYztZbg5Ge6tSyS/HPUJ4dm
Fn4ZogbClCN9H3xbwGucRZh0Xw3GA0VmlQeKHsDTyHA3ykyWBZXXYl+D0H0chty3cVmHX9UsP7fH
6CaWrRR5PkTXk8wY5riJ4MAMeR9BrPrW7Oovtjm4ua7m89gP2/3RDwMunfImRxh8kcoIFgy26c9q
ebjOhZIqkFnNDTvE2bKJ29+kinF9vT0vavyBYNFHc1BDd3rRfMaH4j5Fd37hacp9gULLAtZcc5h5
6FlJtraAmdEtzEHzXFIvED5s12Uro+sv48FU7YcK5ItC1w6AwzlLEMqRq4GkOBhAE46ROdPj+ptW
9GIc3FtzJarjWWvW3/GTAGoqj6nL2S/cIouTRQhcFRSys48AkOOWIWcEtB7VfB5MM08pXRRoAAuP
HQgd+FJcGmda561UIzsPhuzMjO0DSQoXrXqQpniRnjg8s9abqwKhTtccLVwszVvLSZH1pUfQa9E4
86JhGWOUJZfhQ501n60kkDF+xkMljwpnXlvkWbnT4JwZZYs8Lk6gBixrKf1U+y3ib/5xkxZ0NNTa
DSF2qUm30tseoCES//vVAOowUadDW06+BDU9XxMRIhNE3EFUWseqk56SXtC81kAS16Pq5rhe75tm
A/0pUBgv+0p40EbhsdqGx0pafElo9NJFr9t9U/E+6ZZx24IJo6ujLwMsYmYDgslUsjrZQybQmb4F
e6Ztlj4S0aS/aFBL2OL0pnc7eby/soA2jh8ZMkj8HZhxcE4kxmgUHHhT9VBmmj7H6hxFIdQucEhB
EnJEntVhWUGDBbeqp100vRBgDttRyMLqs7irTOCo8ncw9Ed6GB6HAfLXuFUBo83KmZyGXyZTu/bo
R7uVl2N81yDYCLPvEuosekARngBadqFKMBKVCTiq0y4bwQ0rM9ubI6R8UQUtRlrqdRfUJ3InAWsv
7MOwCqjerfQiQSJisELpMADkEBoNghHNcGiONhLFybiP55zhRiVutmbWx0wpsJef5OAEghwQSXxO
ZlKVfPcn77osfG1/VFDX10LolEMQ3VcFolc5cluy3U8zup+qm5m6fNT70rRq7GJh9QglTyWTHwQ6
5lIHPCx2/KtBC+etCkvQK44cJ8V6vKgOqeUwj1UCH2eKdFxqvQmm1MzRtEzHzynC9+jArKl0wuWg
Bi2dhe7UbNNPqtEdk0Lxpyq0zE5fCPR7l9tHgP2xV/DQHWcToalEOUXraDlayt2kFCeGT8weHG1u
ou9fKtVDE4UYomN/MfhzK+R01mNLnqt8yaF5QqSM9ynpYFRiCNsQTf0GoCmbAMA9kbvYR1nKnmF1
n0D7s66LNjyZdOMhbgiUoWYK2TvBrUSqrIEBpWg91IHaOaucieRV728S9i3EVx2Bzb4KXCELykG7
qIyOfNKa4NOO/pq7s5rnYYBwdDDmqKho5pnNCGMpWYa6rOrqcxgrV0bWJi4mRp8UkIhRjDdBJZLJ
muJsP7EKBEAHZTGp9je8NoZl5VRoZObfqgh+b2bn97U3YcBKfTTLAm06xZnOmHlFec6dB8uV3/VI
MzcOzVraXa5WSPncSdt7ZIqRIbXKey3IzqKIdpWHZiFOuN6JUpjtvu6PwcLJnQ6qcKPTxmrB5zdE
MM82TgM4mrOiQHpHCvNF3vorqr9gbhEnJfQDeym7GvMpgB4dfY2t4o7azMVRJV3SlVqSR/AdeN2V
IoDzpYDQA3A9KBpYIARxmlICaB8q0+iaklKfOZPOwCn9HgtYvp32Z4PloYENYl/W0I52wPDbUoZ0
Oqj+HlDrXCrB2fsg/mMB/S9gksmCDED794RoXsMR0LtgGYS6IVGW0IqHOueUp3mS5IG5X4Uyjh9R
WHbTXFacMvjHXF15ahH9No/+d8J2AFLw8yxHfpVHo38AclET+TIKgo8iBz/y6EftYsTmBFLPAcny
I4/W6AMxItfAdELTJv+mcfN3iwhwJ5Zq+L49i3D9QR6tPEIlXk/KaQqpaHNpJqIiAoz4U4vIB0kR
YbWYnElK+cUPaa5MbfJNGY2DROF+ijCZrFGvxVh2XwaAO2k+5svlaW9jcOX1aXmQhnBhW19yK6tV
F+TgCwxcrnr8EOe2JfyO/fFYbryZKeWM3amxQxvZ80RJsJ8E7t5JVLlxvU7Nwd9vFf3eU5kzF1LK
lAajmcHu7ukTIfIZy+OMaDM3R9JOZczYya2UUJHTuFdtGjdW6xAsQee7TZ6Niyzn5h8p92E2HbVQ
T8jOms+YxA2zGjRyLpuHYIswlMXbBOGcOgbvCakbajdays45Mlq3nYeDaGQDKg4CCfkQi8l2ZEah
O/kwvNPUx4TFO4BMs8AU3dsvyRz31X64mQL/pLGyo4K7JeAzoUBLcp2q6mUfojTk++k8ztQTT1Gv
vTFpFl3Spuj8YmPb1B1m0jG9JF3XVqkGodizi1vbqCSXcbnfYgzTlaF/BZ+h+CqX/c2ICOVRY9eI
wTT1kq48kGqQQ4PfHYRZvEwL2CZ6ixKi3o9402nkj4FnnwS+eqOVSKW2YX8mAVScx0i+zFRj8ueT
AwjexyRpKeXtpSYF90bi5Zjtgu1u4/goN9fNsC6ckTvTXNejli/bCuuGljy0ghCU3zhKkF0lMr2t
h9Cf7vshuJw0kl6rLbDHBYFu22vU9089GqVEqkxeDY2an6mV55zpTCMOGaC7utOi52SZ1B4jqsiB
HLqB7oynWjRZIWbbaQ/+yrrtMwQ0wjQ40Yb8oZzEfZj7TkkhQr9n/59+wdPU+ret8JN8I0HzVSNc
sfYIbiCxqG5BMAr5v5coRwCkUAe5iTi7KQur6x+NcJBCCiERpu0PFNFLlBNQIXBdcJYxnOHP/mxk
7bwfWTO0JsTRszAt0bR42wivJzCJrdGap+Sx0zFIELmAjoPlhD6TOCpgKCavVbt9STWDBNEVJDBh
GKZ1O2/D6JFRJScnFNtyCn/G5zV8l0RK0uHHtHoEz4TSGF7ihKfFsN83MI1u+zaVCvJYX5ewIbMk
p6BLXWG97HSoqF20EcrEzPTwcbDE6W6H7FaV4U3ROlk1Yuhci1hQCg25KqweQ2y98Fr5OiJ0VJmZ
zHPctvFyucxEdFEQ5mDeXBwVeXqUld6xQiAaa1QSUIHzGByly7Y4oDEPnUZEL7RPQjcWES0ZLBq4
Isq1It51w3SbEgAVGd1n4fQqtcRGfNtIrUS87FP7sCKAqiKShm33uRGxVSHIpqEM4Z+wW4v425ud
6ZoiJuP/2CBgOA2zuIE+I4vYPQooFe2luYzu+ywSEb4n1Ev6gMYaLewWgqabesr9MBQ5E4Yab4py
FYobA5my40jcIRgt3LQGNUtU9scoOHDXiFtn4vpB+GZRivvIiz06+ilqDcCZDgAPI4eg56eRml+W
Ze8CtzwKueICzDYZT5SMHUC+cAHqIxLyVdDNGo1JWxLPEH2T3K7wD3UvJcrZJjoqE1oCzRAxdc9j
5AktiaFrc4LvtLKIkyo6xl90iTzNbQsEAHi8Ey61UQtx3vLPB6sK6fI2rlI2h12LUkspV7d+LtLI
2DgaR+Wq8dF9H5IOvxplFWfRJTo4x6GhzWKLVoNpTuHcM8Zkv9AlD30FL3DlwTmXjdxCnEN7yBOl
XimAUVwjy08NJWuWAeI1mRZ/An98k0YlHpPlmRQgRMn8HlGLBNU7O4kWUZLe9Bbungmqj7L2RS7a
fGYxjOz65GqIDZSIBMdfUPkCG0z+WEcdG10NjooC2pzmMOAJ+v42s1ShpNDcDl5/o+j1tV4jG+NX
0zILnLOoNlwp4qIzmm9kv9l+ncFnaq2YKzlWZrmNHb3WtFdehGt4HiktdDEfoQrdX5VNedma0xeI
iF+BVoXugGE29UJYonmPBqIut5+6EJqeEuuIqZvBoSTlh7LlrDNwGmhalqqr5soV8P9FWOnXRS0v
JS0/7+WwB0msXdHGRPAskFNkc/BoC/ST0CokV4vDxRAm0JKtbJkp4zr1p2EVj/6q7Spd9MsdN5OY
IWtpki8Yy3yJMoAXKEnSPxom+8iRR3vmKHCZ5KkSmLxF2uM37qmJPkcLy9w3sblP6vEMW3poh/Tx
86o8BZXxCYpdcFilWCKZyvAQh85lpNP/MxEPhbeFQV09jd/7DhBF1zEi8nxVdwGagxupG2WZWH0O
xam9Mj3gJSbAzf1YwXolLzCML8fccPU8WMX+sDaDJps3GM/NB9NhMl6eKJJOCTlo9F8S2ntwqF0D
y95Jkr9XvX7k5+FqRCY4s5gXgSs+sLS4d4tBQTej7Bb2IKEf2oKYYXx24DfCFjUSwxA1OkFE6BAg
2hKT9SNSVDh23lGaRAdBU155AVZDg1PPsh4n6tw7M6XiurCDCPY4mAAEN8wjh7hIbIRqRwtvTq7Z
L6M4v81yhCpp9XBmmQIaHsqLvY98Sdj1N07dYJKaS5zpDOJuFsZfBq3ROI4DKERGnqmt5a4zqOki
Huml9A99hbSjZUThPBv1o8BMvwwjK6o4EAj7Rp17XX5TRZbjarV0o1JuB36D1khswc/TxEQlv3NU
HTyo/L1T2AwAJa6Lii+s19EZMRKSNsXPykWZWuddFM99Db8Dye8xzEi6U8i4l3xUuPvBGdqiYM91
FEz9TlL3p8Q6ptuu0XCTD4CFwhCmlj7Qe6TDCg+lTwfZryR8SHsmR56O/aAC4ntVx90ndF4mF9LT
BCjrEXj6/yVLegZ2z9bNev6Ir7toH6rx8qFuWceXMkn89lH39zr/v/2j3z/ouRq8hnr73/+1vocs
xPy4qcK7htLq50pRJRF5M6d5fGOP7/q3z0nW+AW297wC8spkXI5BlgStgx/yqyRHkfzp1xKKlKIA
NfRHZQpe69Ua/WoVfv8Bn5bz9//mt2/+50UQU6LtFkHT9hxbECBN+emHJ75ZBPJTDSyEChLi9V7+
3Vb4/QfcbhFebwQDOs7/4fPzAX/sAbCfYlCHCQLAe/Hz7uOTgwPhthTRaBA/u7AIG46DmPJtuROQ
gzFUgP+6YDnxA7jm7U6w91Rd03RLITg+LdUOHgqdd771UlCTQZNhOkqjSPywuG+WAlUdSjYqIr6J
HVwDSsbtAwPnnu8aLoj9tAY/bwcQXDTYgGM9+5jsXnQUeLMtz4Szh1wuLT6q8Mcfvu+fNwKEB0as
u7sI2+8EG7FZhEFUYWjw9tPLOLCrwg/9KXo+vdTubQSdm33LjUDsM5AjAX/xtBF+vieICEwUgC0+
v9buLYIgG2y3CGBUoJrBrRRKAm83gr6HgAKhAoWxx58dDYuCkLHdGmgG6RCu5yQNmzcCTTuAo6SM
Qn2b19q9jaBBfdlyEUDogiTBFOLnS4FsEVUGG9LMcxKxo2sglAm3XANasKoj5PGedrzIOt6eCU6L
4xAzjKedsqvBUeE73HIpzD3HRCAT3YfNZ4JCSjYRLCeH3tH9IDbylouA3Zr4tiGebc6XRKPf4Kak
Jb+jiyB0DbZcBHvPAL3IVw2LWPy8S5xFzf3IgdMft8quLoW8fYy0H+8BhtFEAfHzc6gkY4D9AB3x
+QDu4EXxEYUUpx4Hq5fr4N1+oJBCgpQdsas74R3f/4/7TJpJNakaTOueI8PPNwW8f5oLpkk5tauR
YftKigyRQonE4DmBJhN7c10SHlGmYQ62q1fEO2D4H28E8md4f4gwA1h5+vlpDURbQWNwb9J6FD+7
eiaEKMSWFwWcaxJIhMmePqlwMHmzHeguYJgH9wqS2E4vxfalpUVVJbhs4PF/tStYJfBH2q4eDYSg
t90P5p7J7J/q+qm3uGk/mJBJTW1nW27y9imkuWchD4jj1S/iA7UlzEj+I8S9OIC7lzLo2y+ChT6O
jEOV+XxRvGu5KUKcnEa0YH/u5CIIdf0twyMpg0HDiaLqFzGBPFpG7YS7YkcXQQhwbbkI+h5xDwgn
w5mNgVHgo9DIYtr7PMDb1aXY/rq091AMQTRK/VV4fOzImKDBnjK13YsMxkekkGhSQU77VUXFfqAX
rSBhtauRwdi+wjYZy8giP/z1wBLJVwYzxlMU2r2d8E7n548Taaa2QsTOAoH9mBxumtpiwGzZHJeX
yLGTN4W6fYVtC1M/0Xh63g8bEmkKT06F+iOI7uZSbH80mFjKJvJC5q8mlnBsUY5gfr3bzSflqe57
Eo38AbT4E2iLxnVAc17o1z4dkJ93BSqEQikVcvCON6e3vzUImNCmKSV/kUqJLILfIe/6dE3vXsDU
t48SDr1GxPv4kE9RgAvy53Ib0DijPQGC2s34sH2hzQyXDErI624+FKL9gqGpzLWyo4ugb11Z0INC
AI8RHQqzjz/vyit1j/kdEjtiyLuTO+EZarFFeAT5R6HN1/yC7+GAvT0O6p5JBYoa6q4mUc+TtC0W
gSQKVQmacPLzBPNdTFD3DBq21F+7mk4/j9i3WQRKBlPQC+Xn0eXPFyV9SGidgJx2NjA+94K2WwSZ
TIFc+VctF3XPUSAhoUyyozFBCH0SrLZbBEY00Pjfg1sY1CEpTktqZ6+F7XNnRviYA6Ce/txK2RAM
AIDRp97ZcyBvvwgQjmm5CXDPL7MkGMc4xTxbM+5eqvhc9G9zDrgWbOERATb+8Ydi5O3diI4ulpL4
yezq3SgcILYMBjbjCMa1bIWfPz2pA4IDCnC3HQ2FQkpxy09vkAerJtce5138bNgCjDFlzsFT2N29
c/B8QLc5B5RMIgxY1nO18G4RNLDBlokc/67WjcbTFt1iEQTik+qZJPH5WuCjvg0GZAYcEjrwu3oc
xCRxy+Mg4BkYmdBFeDoO70omeU8Y6nBz7Gp6JHxEtlwEB10NbCZUvP8ef97tBJmdYMOmeoaX7mBM
2L6XJFDgBhjol0n9z4sgJhBkSQ6p9I7eDkJgZcudwN3Ilwwl4hdZEouApaTFQu3qLApNhC0XgcCI
uxH7/XkA8R6vQEzg1zrl847uBCEnseVOEFekQhOZ/f748y4wKnsGNSP6EbuaKspbL4LoJRlAHPGU
+EVg1MkTMHczhZA1C757gVHIkG69E0C5C8+gp8nKpuMgDIWInH8M5/pfrNcPgrIbhMn9IzUZdcNN
DOZf/YOX1sH7378iHj/yTd/8S0FVfnrxJ2au+P//9Za5/Ph9v/rty/f/+ErPf//8Ed+/+JsXe/lc
L//jKnyo1tVdMD7+Ynx+o6frFG7zvxP+6379mi0rZLlExH753zbTrH/sg98//TfqXY/s8W0enq7v
8+rlXR7c//d/iXfOtiHD/Hsd3xPE/1fvfL9tmoeX57x6Nkdz62e762Td8ZXUL8969Xzi3/bP/52s
/rar7uYYba//cvO6ebdrWHvK4K3f/+wh+es0rzauP2F46+fPk79mecXmeXnWq/XnEt76+YsKxdRN
D6fg3vrhy+Qhy16e8+qNf8RxRaL/W57cN+8fLziBW7/1g7R4qMJ18vKov9+9GGRv//hfW+ptu+mP
HqoNay5Iglu/6yMciDcEAoWrdutnH6/jDTFMzAE+4NF1/bBpTT7igB7n9V//zvyH5GHTynzEET1Z
3xOAX9bh1Ub8iCMqHMg2Lc1HHNH/4G627UY/ecju87twU/QSnbKtt83JQ3X3cP/yoL/XXaS82z88
572/POfVsz/imP5Gn2/rNedGfagexg3v/CNO6um62LDRxfBq6wU/fejW73NHA/G/D3j4WbUmBLw8
6NXX+RFH9DxZ3z1syB1Fn3rrZTlHS3RTcieaa1s//DIkdazD+w0rI0R+tn7+1fquoiTImg0JjOB9
fsALZH/tP2Thxhf4iKN6tRYvUGXr6n5jIBPKmR/yKWbhg79plT7i1IoPseAE3IX13abX+IjjK17j
MF+X7abbSlC3PmSVjtuw/uvsW4jv0ssT/z7MYgb1Ia9ysm4eNj3/I84z69Ss/9pfV9/Wm3IGQWD4
iM/Aa7jJ5lf4mIMtPoVbtdPL2/37a9A/5GAH6401ocCibb8+9DA2Lv6HHOawjrFxbl/e56uF+ZCz
nGPxtGFziinQ9guDcPAmoyHhF779w5t1hu/xuq1fHvZqaT7k6Io2y4Z7WCBZt373v/Vg2jZruybH
D5sNSZsYpm7/1lsiwYYrXiCLPuDhNIjSTar6AhWy9eNveEK76awKZs/WT/+SJxuOkkBybP/o9tuG
TFmMP/7Doze1ZX/07983a1+EDTf92dtetPgXd8nDuvrX/wAAAP//</cx:binary>
              </cx:geoCache>
            </cx:geography>
          </cx:layoutPr>
          <cx:valueColors>
            <cx:minColor>
              <a:schemeClr val="accent2">
                <a:lumMod val="40000"/>
                <a:lumOff val="60000"/>
              </a:schemeClr>
            </cx:minColor>
            <cx:maxColor>
              <a:schemeClr val="accent2">
                <a:lumMod val="50000"/>
              </a:schemeClr>
            </cx:maxColor>
          </cx:valueColors>
          <cx:valueColorPositions count="3"/>
        </cx:series>
      </cx:plotAreaRegion>
    </cx:plotArea>
    <cx:legend pos="t" align="ctr"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Aptos Narrow" panose="02110004020202020204"/>
          </a:endParaRPr>
        </a:p>
      </cx:txPr>
    </cx:legend>
  </cx:chart>
  <cx:spPr>
    <a:solidFill>
      <a:schemeClr val="bg1"/>
    </a:solidFill>
    <a:ln>
      <a:solidFill>
        <a:schemeClr val="bg1"/>
      </a:solidFill>
    </a:ln>
    <a:effectLst>
      <a:outerShdw blurRad="50800" dist="50800" dir="5400000" algn="ctr" rotWithShape="0">
        <a:schemeClr val="bg1"/>
      </a:outerShdw>
    </a:effectLst>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Based on Orders</cx:v>
        </cx:txData>
      </cx:tx>
      <cx:txPr>
        <a:bodyPr spcFirstLastPara="1" vertOverflow="ellipsis" horzOverflow="overflow" wrap="square" lIns="0" tIns="0" rIns="0" bIns="0" anchor="ctr" anchorCtr="1"/>
        <a:lstStyle/>
        <a:p>
          <a:pPr algn="ctr" rtl="0">
            <a:defRPr sz="1000"/>
          </a:pPr>
          <a:r>
            <a:rPr lang="en-US" sz="1000" b="0" i="0" u="none" strike="noStrike" baseline="0">
              <a:solidFill>
                <a:sysClr val="windowText" lastClr="000000">
                  <a:lumMod val="65000"/>
                  <a:lumOff val="35000"/>
                </a:sysClr>
              </a:solidFill>
              <a:latin typeface="Aptos Narrow" panose="02110004020202020204"/>
            </a:rPr>
            <a:t>Based on Orders</a:t>
          </a:r>
        </a:p>
      </cx:txPr>
    </cx:title>
    <cx:plotArea>
      <cx:plotAreaRegion>
        <cx:series layoutId="regionMap" uniqueId="{00000000-3F1B-4C52-B82A-1091578FF8BD}">
          <cx:tx>
            <cx:txData>
              <cx:f>_xlchart.v5.2</cx:f>
              <cx:v>Total Orders</cx:v>
            </cx:txData>
          </cx:tx>
          <cx:dataId val="0"/>
          <cx:layoutPr>
            <cx:geography cultureLanguage="en-US" cultureRegion="US" attribution="Powered by Bing">
              <cx:geoCache provider="{E9337A44-BEBE-4D9F-B70C-5C5E7DAFC167}">
                <cx:binary>3H3ZctxGEu2vKPR80a4VhZoYT4QLvXAnJcqSqRdEi2xh3wo7vv4mREpmg5AGjHDHvdNtzzgkdFYn
cFBZmSczq/593/7rPtpt9Zs2jpLiX/ft72+9ssz+9dtvxb23i7fFIvbvdVqkX8vFfRr/ln796t/v
fnvQ28ZP3N8Iwuy3e2+ry1379j//htHcXXqR3m9LP03eVTvdvd8VVVQWv7g2eenN9iH2k6VflNq/
L/Hvb+1t5H9NdeJv3+5fI7+/vUuj9I2dVknZvX2zS0q/7D502e73t3uDkLdvfhv/1gu93kSgelk9
gDC1FqYQTDLE376J0sR9+nsDE7yACwJjE3//vattDCJzFfmmxvbhQe+KAu7m239H0nuqw+3/8V9u
+364/eFxu/Dkf3/7Z+KXu4c3t+W23BVv3/hF+u356M5Oh3v78/bbw/htH7D//Hv0F/B4Rn/zDNPx
s/xvl/Zh+y+QXqTFmz8SdxftigMgyxaIE0ItxuW3jzUCGFsLwigFiAUaPiOYX6ncNNpTg8wAfUrs
yLCHqb6td3p7COStBZYmwUQ8AovAKOxPbbQwLSQJZeb+1H6VUtOIvxxiBt4vhY4M7dtt8mbp79xD
WHCyEJgLLsmLCS4W2KQWtuiTBdgH+1U6TYP9cogZYL8UOkKw1U4nW/3gJ4dAnC0wsijgSr8ZbkRH
8xuLBYEVXQr5EvHXKfZz2CfGmYn9hOSRvQB/xNuHVB9gSbcWsFybiFhshDhB4KwRIimSU2v5fIWm
AR/JzwB6JHFkAF9sw90B4JULxCh4YwDjt8+LdZssJObYtMRo3Z6rzzS6e9IzsN37/pEhe7u91xDl
JOUh7La14MKUlIHv9e0jxrMYLyASg38om5rFr9NtGuuJMWYgPiF1dLgnby4hjDwE7GLBLCaE/O6G
vYCdLAixMAA/CsEGT2m2Uj/DezzELLjHQkeGtp0CjbAFC16Uw///85wKwpaUlIrpyJuQBQYrwAUG
l/2RynmkVl6r1zTmk6PMgH1S7siQhyk1QB5tv8H/TwMvFgOfAss3oD98xhEZcGqWBTOdM2DbngP/
SrWmcZ8aZAbsU2JHhvofEazpD4eY6mJhIWYRy6SPiE/ZdkHAaQdf7jngr9BoGuzxADOAHoscGcjw
Hr9Z621y7xf36fen/U9Q5GIhLIQEzNxHjCGq3qfTyIJBjoBbdCLe/qHRnHVmGuq9G/sxzAzApwWP
DParbXaIiQ3kuISJC2mQx1hszLHAGk6sIW1ijWb2XH2msd6TngHx3vePDNlz4NB+vO6PxvOfmM58
QQUEWJyZj8iC0703nTGE4eC+YUrAmD+32XP1mUZ2T3oGsnvfPzJk15ATPAgzai4ExSbnGE+basBW
WBz+wSMHbL5G0+iO5GfgO5I4MoQhJ5v4RbStDpHfEguTIUG5+TOeDC8QGnKbYhRfvU6raaQnxpiB
9oTUkSF+tau3B3Gx5YKYRFgU8Z+sxIA2lhBTyRErOl+jaaRH8jNQHkkcGcK3aZLGh/G1GJUmuFtP
+eoJXwtSnCYDGm1/RZ6v0TTCI/kZCI8kjgzhj+DuVAdhRhh4y5CzRD+jxGBhhuwVRiYamexXqDSN
8XiAGSCPRY4M5WsIkt1D5K/oQkjMLMtkj97XmP6CvLTFIUVpjmuN5ms0jfFIfgbEI4kjQ/hyq/0s
LQ5hq78lM4iAsPen0ZM0mbDAlj++BPsW+zWaTWP9YoQZaL+QOTK8HylctdVfDsNrs4HgskyY3T8N
q0xpUYapOQX6q9WbRn56mBnwTwse2Tvw3odywsJ/OIxhlxbilD4xJoP53qdMIPEBxYYEjyuOXqXU
NOovh5iB+EuhI0P7tirL3SFKjCSkJgmB4tGnqT5ewyGFZRKO2Ytoa75G0ziP5GeAPJI4MoQ/VJCk
PMRkNiFJiTAs34+lYi8n8+CKD2lKDnHYc/5zvkbTCI/kZyA8kjgyhGFZenNR+cWb6y9+kR2i8oRD
1EVMIEcgfzV8xnYbygZNsOkYk4nM1StVm8b8Z/c4A/yfiR7ZW3ATbe8PYsmthQUVwBCPPc3zF6wK
8GYC6g0R+eHUPZ/t8/WaRn4kPwPwkcSR4Ty8zmfpNq/8QyS1xEJCDwAj4Kd/+0yATSSBVVs+sqgT
lWavUG4a8ak7nAH7lNj/APa/VnHvvoc2sD++r6UTKczX9uxBeT9kL02Ixh7BHpt1INNMDGwqZk9O
3Pfffqoye9Zl+Djjp3Saxhg6daY7FB9v8dcP5X+uQe9yp++hwdD+xysEIV5CpjQt82eFYghqRrGE
1rzJSuD5ek2jOJLfe1mn2zBHEkeG8zm0+R4iUQmuNjThgdl9asAaVw4NExWuQbA1LjWYq9A0vvv3
MwPefYEjQ/dy+wCNlgeYxeYC2iwpBzZ02g6De41MKPQFM7xvgedrNI3vSH4GwCOJI0P4pIq/pNFD
+c9jzKCxyjKB7iCQXN7jvAh04ZkYSn2hDOzbZx/i16g0DfKLEWbA/ELmyIA+jbOd9rfRPw80hTZa
aKHlQ0A06UFjvuBQWcQxNOANn5EH/RrNpvF+McIMvF/IHBnet962OESLBkxrLhg0R9OftciTBXRO
Iwvok/15PV+jaZRH8jMwHkkcGcKXu+QhvT9MnzRw2UMmWoinKT2OkwhdECRMSuXI/XqVUtM4vxxi
BtQvhY4NbUhMH4j+EAwIEPTUhvEia0EWHBrmIYM5Ki8ZMsOzFPoJynvicxDeEzgydAcmR+1gU55D
cNkm1I5A4gn87R905b4/Bs2ziCDw1cYW+1VaTeM8cWczwJ6QOjLEV9GbZapht4MDOGTWQhBpcvI0
peU4eB72PJADv80nHbJXqTaN+sshZoD+UujIMIe3enDJdNUfAHQIqQXDDOGnQpIJQw7bX0A6a1zs
+zqtpvGeGGMG4BNSR4b4JbRL7/SuOwjepoAN6Cj6WekvlBtA5a9Jxw2Ur9FpGu0XI8zA+oXMkSF9
m0bbgzTmQDsdFI1YA9Lfo+f91ZvA3ifS4ujF6j1bo2mUR3c0A+ORxJEhrIbCoQNMZLkYfLOhre7R
PXthuPGCQ9IKSg1GxMlshabx3RefAe++wJGh+6FKoypODgEwZJgt2FUMUsg/mcEIGBOCsUVelA3N
12ka4xd3NQPmFzJHhvStv9MHSWrARDYRIGk9Zh5fbC4HbjdchGpgMNbDZzSd5+s1jfVIfgbSI4mj
w7kI/S6t/nmTzWCDXwq7FpDve1e8CLDIwoQmSw45rBEH6s/X6Wcoj0aYhfNI5siQ3kS7ZBYV9cod
nmFCE8SxfJnBgm2IpIWhkXa0hcFsTabB3Refgey+wJHBeld9OUTueeC2MWSj5M8SGOBvwT6BFoRO
+5N3rj7T2O5Jz4B27/tHhuxp0h2C9wKiExGYsrAr++NnlHiGfbuhrMs0oUR7H9m5+kwjuyc9A9m9
7x8Zsh8gKQD76x9gzQXOEkqCIFPxxG9N7Bc1bCoDjVQjv+oVKk3jOx5gBsRjkSND2Ya45CA9ktBA
MeyubuKnuqCJfVwRNEObsGnB/gyer9E0xiP5GRCPJI4M4Q87b3uIHQugfADKQEw4X+EnDZHD7lDQ
Dgl8x2M99ngyz9ZrGufRfc3AeSRxZDhfbItidwDfGXAGJws6KJ6q6qeCYRMuM8gs78/k+RpNIzyS
n4HwSOLIEL4BWusgZ2XIhaSmgCzj00x+sSCjBcArOezeu4/wfI2mER7Jz0B4JHFkCENq5RDe9JB4
4FDC+X3vxjG+w8YjkFCEMGpcoztTn2l09+5mBrZ73z86ZKHC6wC+9LBbOoKZ+T1X/KJCF4r8GHTK
wFZ++1P3Mp2p0M+wfS4+C9znAkeG7h9R5h8k4QAnk4HRBSf6JxklmLkCPjC7R7tCzddoGt+R/AyA
RxJHhvByF725SuH0u4PMYehahBaZYb/04TM2z1BlT+BQDNg/ecRRvkqpaZxfDjED6pdC/y/Q/vmB
dT8O+1tuy+3q2zGBz86s+/XVb48JzjYciT5tAjDRJPgDk9OH399CkS3lsA3ys27GYaC9LQSGo0O+
2+J9mR0Uev/+Fo4dhMLrofyHYTi4TiAKkVOze7pEF0gyAvsSwA7rJnzj7ZsEXksPTjEEjtuCUAt6
HuEigg0q3r4p0urbJTAj4N8haKWDw7CQxeWPIxxv0qhz0+THM3n685ukim9SPykLGJgCx5Y9fm/Q
lyM4wQO4G/h7NBQVy2GHyex++37o14JH8H8kJdATkif8Oqwj99xw49y5bdswyU9M4oebhjGqOsFc
O7f40vWj6JRp3ti8MvhJ6MTpadyR+LJpkAxVEFlo3VZdoJjggaIxvrB4Eqgm8LUK3eTMkAG/FL2T
qzZCazN2uXLLcC17a8eDulB117hLx2F9bJuee560zXmQRGvDqj3lk6B6X9bFKalb83PUykQVgSdX
DQ42EUpPepptGuK+z3FSLZHZ9cuCBLWdxPqk7PGVLOROONU7n1rXfW6dEkvc+paxMdLiL8O1svPE
Sc9zT55qj/mnWDZ/RaVrW4Z3GxP+p+tbraKW9BQLaXaLC/cOSjdPqZWtAuTcUQk7h3oUq67OHRWW
dbMpPB90ZkJRSmtb60wokcrznHq1CjU5D4voKo9IoETgXuYx22qvvC775GsJD1rJMrX7tGlU52Rn
sQiFHaflCZfWEnW9ggY8oWSfuKuQBH+KjOIlFd1Z7xh/Wdp71zXMsb0yOK3cJFO5KPqV7DyVWkmr
MuyYdtCkJ6TJ78LO3YSpkdqc6n7tdlFvu5l3X8S1trsM82WCu41p+GeRK+kmtshVkjGybMrIW/pa
f8wcj62o/lqZHToxQ1OuHDcPlcvNpSXwV6MtfBsWw+s8qnLV+35i1yL/YGnLuDBkdBJy/S5yixNZ
61qxOrWDMhM2d5NQtcjtPndJf2a57EHwgq6COpA2Tvs7prMz7rLPLerf5Zbxodb4rskcrWBmfRUx
69ZpE8pVVgRXsehOwqKVSjNc2EHV7FpLpsrA3LW9zF0HpLrvPN0oyula1OF9B/xIqgKd6TXxzeJL
LRG5aDn3IhVXrbspYZORaNnwjm3g/s2TuMNtohzuV9KuY90JVVrC0CoGa7BERCRylTsgHA5PvE/8
UPlOuQzByq2lgfxOOaHh2knmeSddja57mAzvOisQm9CwmncZK7hqG3JGaUBt5kpFc5Dp/cy4DlyX
KtGidEXhbVOa5zRUIe7QilG/PY2FwRXPU//Mstp+I2rerFLfL1XnNa5Cdb1uyvjeQu51XrupAiN1
Sas8UVCg+q4rhLssouAqNzNfEfypsXh3q7ER3iU4oIrkcXFDcbvEjs5WVgkvpDZpuEosV9WsLFWb
ZFRRDHN22EJxExNpLEWCeoWbqr6KGVu1biqVMLrLkNSrUCZEVbn2VBWZSBG/+KIrY4NpRlRN9Wli
VlQxbp0ZcDDgGXYja5lmAVbESvRnInKmeGI1q8qtTcX8vFSJJ6KlH+tsbWRRbPdlj+5zTP4K4thZ
ywK+2+jG2iR9C1YpjPgmjctUFUaANnWYpwqTAV/HjFXPnPNcepuoaa58mFF201dngdTvvAbuGhl8
jd30HHd048dOuUplVKig15fQoWHZrScysBkVINRHdlaE6zLwunWcxO887rOlDoS0U4ufW27lqiZD
G5+Hd6jWm8oobvuwrlUU6Vh5jV4lOLwsKu2uuyr2bF/ojZNlJ2ZVfHWp4y05LB7LzIhgwoaRIpdW
G3+IiyC6kF59k8ATVSnz5SpOuVZujk54UH7qzGTdsOy8cqxdmxKsojQ+K8OmXbm43QiT3T4/jXZv
7blPs077rvd0gvCPP/7nQxrDv9+Op/37L4cDiP/+02aXDl39xfhLg4fw41t/H3E7rMg/zrsdrfOP
pxj/xAn45cWfewjPF3sOlfu/cg6e7y3wuC/BtyX3m9R39wBD1+VwpC2s8RDXD6v53+4B7FI37BEM
e0NbsDfCM/eAQXEhHjgANGyIAL4mLNrf3QMCjSEwIJzwYEEzGGz7/hr3AIMLsu8dSGB84YA2E+oc
KezGAX7Ic++g7Gma5VXVXiUNlau6cbxMpTQQoR2Kpn5nGrw7C9o6CVcIheVdmbL6z5AVba4KmeSf
nj29CWdlaCIfawOnQEIHOuwiAIeUDCml59qwpMtC6YENIXmCr9ywTxxVidT07LYuwaLUDavuRJ0Z
vtKxVeZ2HujQVU5fCGYDZZI8yLJE1zCGVy1JFOE/e25YeNOZ3NnhzsDt+tcaE4jcXmgMBcFAuMJ2
JtBai0Ya+8IDbLvyirbcdZdm20d/1lA3Stel6FIODk+Lg6UvHEv1wux81YUILGatO7zUdVo+eG1R
YNs3Mr4s4PjuWpWxh2olNA/dlZsG3k1YybO4kF6xhMy6/Fh4+XkYNbxd+YVhXvraq+PNr+/qJQyw
zQ6C7lKIYsAH/XbTz1xG0RluA5a1uEpKR35MXfBkwS0i8GpkSdXeNK2Wt5mDo79+/bPDu/bcUwWP
Fw6YEhQyUdAWReig1rOf5ah1WVa4yVVigT+HQ6+6Sgpt+5bjffz1L4194uGXYGWHjDW0SoNLPHrP
soR1PaxH6ZWVIbbNm1RHG6e0OqLCzFuhvAJHiaLOAo+F8ib+by/N8FLs3yi8KJAxZ3CeMXRkj38e
ao59z01i/0rkId/GQcW3YTTowPu4WJk6TVWHAPpNE+UNUXmYil0ZyeK0kR27aE2qkU2bIA3tQCTx
n1RnhC49q+t2mVFnS2T0MbhZMmX6hFOzr9Svn94QIY31F4PZgIQgnBQEaf99oJBZ8YRzx7jElRNv
fV0WrgLvoUyYol2XuGeN54dfXEtmF22fe2szZa1vE1yLr6Xo+9TuPFfYLA3qna+peKh55omzXysJ
/sFYS8oovERD3hq6KrkATu3562Rqy0fgc9PLgOWZA551Kb1+05Ytleuyripbtzl6V8cdr5TnecLW
ONkURGebiGXEDqM8fp9FPG6ViBr3UxNALNQV4P5kPM/+NIvQWjp54thVGgS+8ksaNMoJiuSqyYzi
Ojd6unJdLANl9E4S26T24hNultF7Erg3bpfQVkWVyK9KJ/9QktigS7Mm8CB9cFKXmlU9OCCNFVxE
HrfuHFSxM8+08EXvtrW0G+SxGHKlnX9qWLqLVdNZ/RI33Fj2QXufFXl5WyFDeKqJS7F2irw6ZQ4h
H3IPN+HGEQb2Ve+FzhcIXcE795Pc+FzFIl5mWUFOwzTJTnEuowe/zkyY9zQOb33ptELVOXPPtKMr
u4PnsMGMgP/fxO2KNTpfY9ziehXBSXKuXTeulds18ZxVXFC9rDJ57TmGi5YYQ7ADSw1p7AQFprJK
Ef3Vxsg7J1pmt5yWfFPJwCDrwoz7rWWmelWgNujXdWi5a6Nt0ZYUUfO1cLOM2z0pUaUSl9Tuui2D
FCZH06w6t66stU7BfYpKGp8k8FUFWwHrFB50XAsVFEFg2MJphsiNt71iZeTYtDSSeKPNcOWyqkPv
GorZ0i80ilQAb1K5pmUji01LRXthhn0fOe+qJi/jWHV+1CX6wXM8Qvq7ojFaEXtKajDl6T3p4qCk
Goq9qypDV2VYxmF7Jv2839SyKp3TWPt+pgISpbdIGPQ06Cit7AowcFSXI9kCXLFlLRPHgfWwjMIm
X5lh4yJbRyV2rr0cmSI9CTvReMuujWR5YRYlhTeqcVJcNHYFa+HaNLzAua5h6phDxJ+BS49pWMTr
JPK1VFEOi5ezamvftA0H9nPiEKCihMHBhE4c256sGmfdRCKKV4UDXsGaJ27c21bPwWImJGSVHXva
iFRddG5xU/hGHK9SCK6/GlUtfLREKSk3PrMq64objuucJVSUwCXYSVvkfXdSQG2n9laZ64l45RR1
n6+lLhJ/3UVm3J2googzm5Mu8m3R8i7aaD/3DRtgJZ+MLO4hUKZmGC/hf8i4jgJkFPDIk+QTxAYy
PqValtEq9ErzfV+VlK4DAzzjc6/xCgHBkUe8cuPoOktuYTGmZ4Hbk3BdZaDBKi0jt19ZuO2lbQVd
1lzGVgevtgFTRS8djKszTTlEj65D3QrioRrg9EUB/knSB7TfRSGcKbC0QIF4SbvYy08x8tmJ64vQ
tEkY5nTpp76z7Csn5MpodCZvAqcJmE39POhVnAW9cY6ciK1x5gCzIjwpshXuvD499XzcAFsgmdeo
4XsKS18m8Pq4NLfbxjd6Vba+8VlDiVhnKB/mEbnCELH2vrJqZtAPXdSQ6srMZJcuE5mXl7xKYEly
CxGCgIyB5lg7voeTux5HiXeWd3HUrouG9/45Lt3yAwsI3/LWiR1lQcRE11XSCroqzN4H5SscxMuI
5mFhW42z8rGf30HUBZ5F4Ab1bcHN5kumPXpSi8Z1VlbIEVGJ5cA4PEqDdp3oGl/1bUbZu6Lk+AMu
DfhGYxqFZZe4E+2qJnHgn+iWkOY0EW5Brn1DyI8JyoeXMwjyYiOiwitu2o6Vlo3yBrDxmgQUSwsw
uuewgsmPQKTB2x2DldRL2PGqTU/LQjrkJtBVGL6HmFSy05YFTXVZtuXgfHpde8NDw2xXaRPDT6dp
39eqJXHZb1AohpsfVG/APoFeWYyvGE/gLqqcw6PywjTsbRnWMHWyyA39d4kWMOV1BV6BC9fAppIy
8a5zzDqdKJp5COBudFtdxoaXFcpHVd6uW2hYoyugp8hgNGAy2XBHYEBaiQc/uUzijw50rp5Zte9b
yvJ4CO9F55rbJqGgRquD7j0tW1Scu+DmBudploTBrQWrxaZIEL7KpZvfQT+zmSuPeT45Sy1XVueO
l7r1stMib8DBhTg5I/BYbSTy7j6MQn7TVgVwdznq6vBTA4RgcRI7Rvy16+VgQ/wcmCaIAyy68knn
FevMjOUnAznxOm4yN1eCgZnrdOO999OyOJdxGPAlJ5q4YPaAqFe1R+RHHRi1u4pIAtOkNxwqT1mS
4nwXg0HuzqCiGOZGM1jsVcANeKJt3dcQtfMmP8e6IqbtyKisYaWlNQLXOw8+a1nLD0YHbvpZL0uN
H8oi6QoVYyzqU78hMFQbY6+3WeOa7mkGsDS2EUpz3ad1XV62nYhugfHMlSWKExa3NT/pGxPACREu
+k0WhWl6mZgtuzBKxNKVlydxfe52TebZFi9i7wN4IsUDkgmYETCdBbCKXtEUSja1lcMq0OW3kZtj
/y/gzKhVqx48sO7PrKSGhMEKR688YYTumeFkzRfPRUZtR6Iww1NfIvyuLQyn3+gqL/yV31fwkvqk
DOhNG0Y9v4rNLIpUntXIvGTYY63dgXdTrBoP+JZVYyW+q3QvYrAdRRGtcEtbvawjYulNb+Xw9oes
dcWyczpU2E5WmPkn4NTwh8DT8K7BSic/wrsOLFMigdBYVySTwdqKPbNRbXXndpobRJkRjt5zkuQN
EHJuyS6ZE1n1+9wppIbFHd7oVeZTQBMCh6698GkZphdCZx69IS2KzFMRIasH1w7Yt8tQG1mzjAsH
bAZ4Y1V5GUUO6K9l6K4Lzwq9ZdMidNrlDOZ9Bwy9r5jjictvXulTduPm0cl/5OefcxnPqY05HMml
f6/TIv1ajkmSvYH+P2dSJnItQ0nKb8/5mr1cC/Qlv1n6O/fHWZh/J1y+1bI8JVywuUDDTjdDkwAc
conhd74nXOC8Di65JSnwLHDCKYGQ4HvChS4gFQKMLOz6DrXIkJbZZ1Tg7C0pEbAqHM7teRWjQseU
AJzVB3GHBYd5QesZFmi4/iyM9YPAKzzwOC9hew/g8sDQwupoVyYPz2IfrBqxcd2LgRFHGWmXXtL1
t1XqLF0vcS9oFYht6CXghua2i/LPgYgwvmlwkbkqqLsMiJc6kdeQLejPXFpF/mleduQD1PAa/BQX
SMNaLY3yOnaocxZ2JipX4FsE+NYXMmLnvdtHxb1MXLO51DTT/F0WR5vaTKKdU+f+Mk38KrIrcNCC
DQosvJa55dfvy7wrT1lECkP1EDX0Kwd11eeeiSpUIvfQOamkc67zHDj8JGm8ldfK3Na5LlcV6vxz
XkLg6jh9VqlAOhJOYUs8qVjuNMBdM7O3w8SrbjxwICB+/CxC9z4wWbyC0DO2M5PvsjLemTLFparj
nD00pW9bKLFJ7sKS2iO+LkOj+tyYrqlqgnzfbsIKAyPUBKr0S+sTNvxsKcPGuW99sz4paEJOPcPx
LoyQxCch1gJi8ao97bMs3zAOqQpd96WKw6S1uZV5sD5WkJapnUsAN1ua4D6ALXaWVhmfW5WEBIuj
xWXHeX8asmjIZclIMSCWhZ/HSrskhMjYCsCNrsDNTMJlZsmdxTxjY9X9SYTlNQ18c9M5TamMIoYU
i6OZKlj7F/OYswwbsKmQ59uk4JCAP9vaJWQ1rkLaljbyvNaWEW+XGqq4V4GRkWvkhuGt0XD6PjHN
ZBcgps/i3AcvuGZAqPj5Q9LVwflBbNv/ntViwN/80mpBzvjpKJPn7PFjenkQ/sEFw0GdRDAwEAzK
t8Af+9tyDRubCyjChkww7L75nAumfIEx7CEDdLAEcgxs1N+Wiy6YSeAEqsHWIKjfZa+xXGO7BZYT
WClooxRgvSRsMrVvt6iHjabsYnblxZ/74qpt7549lqel73kqmuEx7wU3AZwXGTY2AroUOID9X6ic
gpUOb6srCEVXhGRfu4xdRU7wnuvyKzhZkDHR/jJmNF9iIzklQp6AL7aqRJYp0zDTTdrQTSL0iVGg
D0HlrVmRPRgRMBlEXlRct3YB+Q2Ik6NrXGMeXtC6zOk1OBopOBZ+rVx4iDb38rhb07TrC9Ugftp6
hfO14QiSOuCBLLvSF0vG/OghJ+CHhxDtrFhBLKWRa/wVREYMhoTdV14br0ssXJuFwMhCPjlVLrau
RSaMVWTpv6R26QpINE9ljDU3QdtgRUlarrGmgQJX/rzW/ueQkAtOyFLKuLto3Do/iZL0JEnKfqmB
F3J4tKG9f2l5kA3s++SzgRquMGu/xqFxXbaQzCzivl+DwV66WXkrglgZKDulufwcIgM4j+qszBDY
p6p714bWWdBDPtPt9RKX4VkuxNbBkF0sRXDiQhKvCv1tCZG+Aj59yMidRG5wbQBhx5Nm6TnkDqLZ
M1mJkzjnFyzJ+VKT+jKi/dKM6UpnUFPQ5QJyUfJj4PflSR9GN9pJQ1X03nnpo7ssJ6XdGcEZM9iH
MsKhIj3kNWnPbn2apLZXtN6qsvzTLsp9xQPOgVIzNygfMlxm+LliUA+AtA1YgJFNynoNROpZ22tb
svoTS6ndePzKLMy7ouyvQ5+992InUUBTwjJTX0LYdJp2zanbBp+8unNVLJuTqG4uPBLdmjiNVRlE
n0hSfMSO+GQ61TrV5hmwG0A56c8mKzNIQsuNQYu7FG4eOJ12Y3T9QxiJVSc8Wzt8ScP2ImsCCzKe
bqZYl8CgVgEEunCUa4rPMAvWgR/cuY4TqLYog7VRVfDa5F+7NDixygASvNnnSqM7w0C3hehyFTrB
sm6ljXj0pQ+dd2GMwa/t3IsQ0h8b7GahYob44AEzkWeVZ7u+GygUx18kBhfXyLx6ZfWCQ9awSM58
3+yXRobrJTdvA8n+qoBzXxsQbagoG2ZP0NwiHJwbVWZBKrjJlzyHPCrk1N+3FiSzq66KzmsXQQ7f
pMVKRlmtCPOdVVOYV25JzJXPzY/ItNylzB3rCzAu9crDXKQKqMQK5reuncKOO8PpVODX/lWrffMi
z0y0lPAoFA0zCO6MMFwGUeotmSc0EKUGWpU9KxSkJML3qWUSWJ0rdA7OAQSzQNyX/5e9L1uuFNe2
/ZX7A5wQnRCPV8CC1bq30/lCOJ02nUD0SHz9HatyZ5XTWWXHvue8nIj9Uk04nbBYkuaco6Pr9+Oo
LlpQCFuwFA5wLShTTKsbEpexMsqK6UDNbOZD1TaxubpxCignWhWY0ckRLQCeTlq8LsQFBgdRBcIY
rtYZnzhN22d31fd9aj95VQdM3UQbYNaBbxpGqIVxSCuLcFOYLq+oi+IMpvVGnhU03PRS8TBVzfUy
90tgWfTCwfiNkyXoSweiDnMC193svc7DgWjipr3lqpnsLGjP3LLUu6xLE8AmZ3lE0K7jQZRGnLv5
kQjyUPVzYE9kt/ipiBtVfXXK1OVDMQYLSylQGaJ46hTet3YxrGBdMeyh51rq28qsl81c2LHtySLA
DMWCnK1VBAlHf1xZdbKtNqn84crs6BCIYeCqRuOyLm6II29rmekUZTbtt0LPd9Rob2urDqYa/H44
9FMeaYgPfJw5024hVH5tnNHA+Wu8dkNOQj31guNyIMhb6lxIW/Q60JU3J3OZz3Hj1DrG0Z8/pB2u
YE3itqntIjRRPXeT7sudKLNT47sU86zNthOIKe5I7xZqiBL/VToAXKyhC7WTpht037c01bescdcv
wOGLQExy2LhTZnJvUZtRQyLUkrmJpe5kgA634/3sTl/6QrCNYrpYA1EAUa2dfEycucFXvLQbm9WY
Emv5SOd22yzFRnk6mgZ5QbS3qzp9R/IymgvAQ7LN7yZh3TIguXvMqfNWGmUfylTooJ1AGbSEPIJo
sUNbOd2XibZm2Mp6xbSPhe4VU8sBaHyxlD/epJarNmwyfEhdiI4+Ls+/kjrM8UEmI+3ERLYkvAOQ
KP9anK26RvpoVjaApssQaPgWiNzV0g+fkV9/f51z9qFnw83/WxMABqiuMOucaiGOA7XucCpdsrr+
iuOyB43h4wvQIplVuxGsSgYrP+SzxZnV7HFSHdwUCgy/usrT6Zp2JLJz4F0+NCFZ+iInOgOvdrmz
shMl2dP/xxOC8QKvKXDAmxEMnm8HO7eeZDH6FQieOuOZviUlEHF5+Pgi53zHN+Qavge8AwVvl7Uo
O7susdB/vcowVa2uK3DgwMAHblBna0scDCTtUDfm2Y1SY/4CdlZeNT7WoE+2C1scLnWLg8omV2tZ
b3Jjna6gV/NvGlSlSc4ng5gYSOSCUm4BJHNldiqg+1IpBCOLhX1D60Vw7bvrtWuKp2oUgSmyIl6X
jqeDSaNcFFVUjfaz0VsbF+NQgFOJco0ROJCdHQPaqThKEVqbnG671XqBNu5JeS6fXFJw5YmjXj1M
MWCXE2Iu5ZHkLQQ4asrRN41FmPulF5pFdp9OZn3bAfIJfTM7uHXrggVqx4SaSzRLlDgT6iMNiULU
EusCEEETqlWdeQxxSMnT5Gwm19viXHxkhqixy81El86jOPMKTdusvKU9tw0Srg5aD4VtFnrZJENl
1Ek/1i5APrWbyPxUFVb+rCEfIrSrQ0/kR0uugttDtynsweeTpa5rSsXJn0xu0lXtIcX7ARgBx4Fs
9W+aZuQb/M16wIZkWA6QcCLx+df1kNogGPCz8eSZ1pPtD3W4trM4UaMbOM7Tr9ngVrwZ8sCkKmSF
6KHfEEc8lRXQdOUlVjYcR8D/y2odXcm+2E6Tb4ba7TbTRJxt7VoTz4qq5jObWUSkUycYXttwAUIf
st5AP4KDiNSyCQq3u8nqQgVmPkhUg2ngIwCJpu0g9VwBadEnHyKYYDYl2NTauqOWRu+ss9AezZBK
gNJA9ireL/RLyeh2Sa3v1FMVbxccAxAM0kbdpn558KBP7KR9Q12o4VTLJ23duPN8rMr8pivc69rz
Y6rHL6yqQDk3kkS0m9ALdnM0TMt8BlBzbpdGSFILlYMaTwbWRND69qNpG1/MfO7CDtoXQKRkM6+G
4oaSken0MSHl1m/myJLgB/M5dKqRBIwte68v8UggYTVFG0xivLWX9uQztR2kfrIXCNBsvMXWo5Gr
cZ9TE1ZzdSFzdfAaulmkE+ZeUQZF4wWWX1xVrVFtwdhGIB4iKtKwbtHQSJphLsFmnA3/Cpzia+EZ
Kfc0CZyp3IzjVAV0AF4OOMk0Keg9yNLsDt+SmdWRk63Bcu5QqwmwhplGlbk8SDnyzCgu3dzhWS43
VmXsa1RxiAQTZorHuR02HQgqAOYOWFlUTZEumxHlvenrNpyMrgxFZcTlwvZrCazHBxq9mNkSDASH
7mqZm9Jk3F3YZcrMJGvGfbZ0h4a56HpHAQauXdpEC2/nZMu+tcoucCVIabstTHDYZZKDRzMGTAkC
qlUbXOHkNUG6XFI38qoFfcypVhsKyaeTpN780BKDs5ocqdv3kUqdQ5kDEp/TNN1P1uwFg2uagVem
TbzMa9iib0ikHgcAul7Sz+hCPDmCz0/naE5785PS9slOtc/j7xvgz8p9XfptBRINdX8ejjXAIzXX
PF0uqv5oYmL5uFT8KtP5USnenAxn5fmv1wN02NQ4GaR8MaGiUNezf2iyL4uTfHyhs0jtt5qE9344
1lmfg9zic01/88mWYZy7kszqtJo6A+quhqBIrVt3yEBFSQNrTs37ti0IlyYxj+yscKalBFhYriRa
8PcGg2m8Qgd3pRqbQfU53RuFvJDEuxFo3zD1BONg3ahsUGEzZpt6LL42pfNg5KK9zqZqjtwc1Gzt
Tnu3JJBcm5E2yRKgxYub0fYeoM+6aVcRAknZTfa4LWwLWKfeutAcgObb9yjboEP2ldVgMxncyKHf
bM2Huu2jQqTbpTWhbleMj279tBLtBtB8PHbK7x+sDMpPa7CzT57qr3jLj6/v7UOlvz7UijpN0adM
nZj6mq/fNPtMAfPJl/aucBBDoEfOKn0q2E1b+ryz7z5ZFh9f4L1ar6Z1RSor0yfXuiwck+MxkVwH
H1/k/BT+0kr9fEp4RTdaUmQ/0XdLT3kDuHkHn8K3Amt8HpcaPcldobxPvo3zCwTfXAjkgO/ilbDI
pwH4hdb0D9HTmzWuy6JZsrW1TmhjnlHUwluxSUMjgjYmeOANf9jSYD58uy6C/F5FTyLS37Cjh8Te
fvyBz+lzb27kt239x42+uRF/LvzWz3CMjJs5JAGJ1M0UQ1K88SM/EP3GjPGcN2bQc8LzyA/bOXJO
zfPHd3F+deZvd/F2db4T44l0EMzq8dy/qK0VQfe+8S89fjE4PA/jBzc40LCO/VO+UUlz4ya34C9i
leDc42sMpeYQAjoL/dA4TAlUVRc5zxXPwnvJpxMJdOxu/a3cL0l/V29uPr71dwTMzyXz12n1roM2
rKEQkIhiXXLJ283w0m7aWzPsgjJMQxgbomZT72R8+XyIpq0bYGAvdyX3d+UJUv0ghaqGf0+D+4/v
6g8l6O8L+c+7ou+qQwFtZ+9R3FW+9XkerEkdp7cN4VUAuR/lYPwDzUXMTl1ifQWQFn18/fM++f3y
f+2jd6cNjhpDD61WJ7LKyFuW/WpUp3ki8pOidD5VPrrOu1OHFcye51XoE3pq6HWfiUoW+k3bUUdA
bbSbjz/V35+hf36q98OkUePwd7tyOuVehcnvus2u/nsXeDfz2YoJSmsMUJW7t0rggL4XfnyFT76Y
9zJFo25Z42lsNNmewPxsWuvLOrFPvpXPntO7U3QwxVDOXjme1PlbgVvBV2Xw3/sc7xbYJFdwW0Ot
T8usgoKeIG8L1vry44t8srq8d6cSTTNDA5xDNVAUzqMmqsR4cdbJeRr+n8U6zVnxyaP72+8Hnm28
k4PZ4I3fXZLZnp22xTidnPq1LzeVnQPkiz/+WH/79by5xrtNA/fVYHSQWZzc0gF+f1XXn6AKn13g
3ZG4VrWyS9nNJ4JDG2B0ZYtPHtM7UfDPU/fPrUjPBeVN2YIAjVmpwDrGbMDBXe/mpDpiRAh2fZBH
2cXE6x+E4z/Oxu+sjb9f8vyp31zSBP5njlaOGvUFwHCDU/WY4dp8eYJMdjvzyxWuHJRuN6oDk7Mr
g1+P0bmqXz52l/YOU3vOy0iPPGmCPP7s9v62kCNs5c/W5f3KKfqFmCk2nXlxLuQGH6As3jZmwKvY
CR8aviNc71/JNwxn/Z3eL3z55PSyzsfTR6fxu+99Ngaad75GLxHO4RrqlVuU+3sRXvsnerDjKXy0
NilvgNhu+riNWWB8ckJ/dgveu7pnqMlwmqUdT8ZechUC2Sy/w1YVevvpRSVtVB+8GC7N1+zRDlRc
XWRh+fLx7vpj8PrgKZzt92/XSTXbtTM0WJr9Rm06bvLi3NVtq+B23qrttjg3Laex5g9kI8N608be
5cShV47y7cLzr+KTk/KPwey3+/lru7vvHgkzfHBDDY6ULnJiGlMRqs26WQ8QUvLnbJtuqoBt2wSg
3kEF3l3E0B000RhXm5siPDcJ/2oO/qdlSf/7qPuzw+ifqfuDHP7P/22yF/Ey/E7cn3/1T+LeO7/2
Enqes6HgBwX/p+SIIW4Hr/QAq08hODqrkX5KjhzkDtvAcfE+a4hG/7B+/WXiwot9TORxuRaIfdf8
tyRHv1YoAJwmXi9xtp7D1AJXM3lX3EvmwfLY+OVpqqPV9QD7xc5n1iy8hv2Xo+THVRC8CnILPSyM
mO9Osy6FNdxd3fI0yrIQoYT+5ixu1yxIbauKShtWHQnN6cHLGITHbV4GYk33UAWW16TNr0TBYsvN
i8NCCPzbpuEGJpsEB32PISfDVrPq7TTnx2L2k3YyD2RdriDLPXar3Kvevij6bEfKSvN6zqCFIp2/
8TS0NukElBCCm++mgvgZwm/8cKxgrhDTawGkmg8QwQB0TCffhx9XA4s2fA5fVkp3C6wycbooLxyN
AXSkDzBCTasE5zo2UNZbzj3UpB50w679FR4NAPLwLsUFqXJA4lPXigi8UQWczdShZhXR4NHbtNyC
fBwhTrXBQ+hBw245VWB7KctzPtqtze5Xq6OhABEY98YKZY8pF3hlgtaEcKQLJrcedcqJco0L1lnG
EX9/Gw6F5BUO1L00mpjB8RnSCb5oH+x12HusSGzhVLtJdZRd4nqD/dXVmTfsLS1nGWbavpbwlanL
3CxhG8+0v/d76u1m2FMfCd5T9DB7ecaZgCDNGZvJ2TIJCzdYS3dZE5bPcJaTZfDvpGQ2p43TRgYg
5NBqVQ5aDXBdlwFymS13BiQ+edGIZ35o4M57GmD2V3rO8NiZxf0OrhWrNiP0XAXPQMBfrzN8t0SL
CCIv/zrTrgkqPi9Cpv18I9uaBKpywlmibnTFA6vd+YCvbg5pV6xRPzZWOEAog9QBVezgeMojD7bl
GBCkGTR+6pwGcEjghiABp/acLE7jhbmyhisQFmbEjPpYNOI4Q+e/gTr1ypHuluUT5kUqEiQvVGFm
k8vBX25Af8532azYqwS5OpRVSBdFX2UxhW49hFXambfEmDYZHcGpyyryjXpTMXBWClYL8Bjfh2HE
G6nw8pJS33eAqHt73vnQkuAAgdp5jR1FjprNoe2Pielah7XPw6yfvxF3QoyAsRGLCUs+SLJJPzcQ
pWXyGeYgM1yosGMF2XtYufOjS4tvYqVOBJ/SsIODPIOjYD1YtbW1M+tI2ylcpuoR9jfYDm34ipkX
pTPdZBZLJrI+qnSIsjqF+Yx03E6hZDAhA9+WLtyMcByErudd4jNeg+MF/VKsGfICwOo7MymOuUOr
AGqRq1E0wxE49j6zFBbzaMaiU5h4Uw+rrNZ7H5uIAGi3QGQpxg6stQ+Okg/GOgaV691MVnbVdO3B
w//PkPjU03yV+0grsNrISssC/irFLV0BussXoPIwzgVZT06VUX2Vlfm1reodksH3UkD4MplX62KG
EImHEsyj65RBJzq9Xz0vAVoAEDLXzx0Ik8l3Q7+HMz5Xiut12TG5ajBaTbMbmfxe69QDfNiIUGei
AVNqV3HntzFYMuN61Ub3SQMFhPL3k/dsF0R8PQggG//+tX3JtVkPmoriJLvKimbh68ibdRXW9SwO
Y20voTenm0zmNd6+ub6YbTdcdV1FbtnKBJdKXU99eSAKOkLfeyBqjLucvkLen8HsBRw9K1PCkfCw
kSvWtEiLQKbuEEDDAktUN1uhx8ZklvJb761TUJTDveXlXTSbox2YpJJcNMHSBYPamm0FpAjou1n2
seXMl8KS8VB737Wobyav3MHasl8Hsesm6+C18gBhjB+PCywngy4SS+VuMMxFQFNDbnKnjDPUpXAg
w7Wjoedsc7ojuY99bWfkkI6Qg5a9uoOIxIGxCxEUlrYunGJtgo5SHaiiOs7tesqHclstbuxCNhoW
otumTQX2jvUFr89uMkhu3Kw9QJAOerKBa0Qse6T7JahrPcddrqhrw0aW/UVVimvH84FyNbMIaWNA
PNESnvb9JRjBGc0tQkv6vrxztNPxTBVPPvH2sNCBAMUCZQjhgM/ne9WR2GzBNDrmY1nrsLZpgOzV
ZME5ZA/IAvO9A+kI9Gq+8T0Fs8jhquB0GhSvRG1uIfHEWTYeCo9+sYjYELgrOEN8g64tMygHXUVO
nl3Yq2uGTW5B9NGWLIE7ZrqXtr3sIQDtjwJulU+gy1+nzD9aBAoJNfPwhmFY1M/ZSG/7bAQjwBo8
w9eaQuZjl7se1OKb/uzyR4/8VkN4nld+6ZxtILSwvwO5xmDFzjlpb68AM2sD+XeWnQSFr5JeFFOR
FO11D51v2QvADrCLldHH14SQ5JOrvpsfprYaW8c2jCPRwDotC/Qz/gNV8UvmoPfI/Qb0BXMhGLO3
89RUwQwXInYF2HZiFTJo+vWLNLxDMTokgLVjI/zF/MZyxwtrUt5RVi8hgPq9J5xHmsIWaAqbTlhN
jYym1Wsi1hqQRLYzC7xG6+0EX9U32ZTjBkE6cM4UxbPAWgXERvMQJ7AOR0ZJME/+DZRNK8JGqjuk
Z1jbOrMvcz1+RzBFgqJ0O/T9hp5NJZZbJjbJDYTdoEMRS9PEep1I0NUUMp3FzblXqGsrb8KmKOag
syG0dn29x6KHqGex+NAW294xEkTT3Kq1fHBItXNHidCWCs1akdoC4S9Fg0Xsbqu13COdJmx0aoW2
IOBz0gqnLHmYCTR5RVlD76jipgffn65YwQTCgwxaC7sNZVkz3q4lC3uRHlsIlzLXS0wJCTnL1E1O
wZ6q1ridxgr6KRvk7eqNsdEWNTcn+USz7tiT+qpr66CHf4sP5m52Z4PPrp14CDgJW9O8a3SeqFSp
cO6nE3RpTli27rbvnRfWkSlIzwou14mz1jl4y2fT4flV6x+u8XMj/gbVWBy0GNaK1VYemsvsZGy6
fXe/xBDkJPTAUHqCZ2vhCEo5Nl+XTyCVP9QEv2+wszIHeRUewid+vbjZ5qypmGMc29DlzcEK2s2k
uLk3HrwNicjdhREcHuaoBOn6hH+Ikz4Qvis26cluPwV4fi18OECw221Ikl1ET2OMej8na7IgZ8cs
81NOLlsgVgV56Ofk493965n1+zXekahrX09GnoscxfUl6xNffwLB/O1ngOfE8xg8tab97tusFV0R
BNSheBuXnY/94KLn/HFC/Wd8Pz+tfx7fb56eeyTJNOPfGYbwmz+nd8uE7B5yqj/T1t7I7s3/glQU
o/3PHLa/pne8zdM+J7NYMAwjlPOcm/ZzemdIZ2HYhujFkPPjAJf86Wn6Vwn7KKHN+iMu4a89B+YR
awO2JM9yieOcV/uve84u52ZYpVouFOLVwE4X0BfO0A+2SDerPTVuBqMabK5cZ35ECsG+ReJVDFeA
h+4MVpcUTuswbZh5nWU0Ms7Si1pDZ0JJAbvwuD65qbViIBtfFtoNkVdCndCK9MaeEB+CPiZHqJnd
bVo1dycs4KjM8vsxR4YSge268NmuHq2d05uvldL3S17vPKdC4lcfQpCU+EUO6qyEz72ocTyXwsz4
qjFQKOIMARyiUGS69KX0nDtYdb9Ws/GyzHkXeqmu4UvWijey/g5BfsahVz+NZJ5CEyZlvlRLw2cf
1FHugEhE7CbknjP8PxOauEnL+7yWVxbNImQDQJeiYZ/tJiiNM6QrZces2NLWvu4GerRF+rJCB6ab
S2rCA2j3FdSj8GlCA153Nk+t9Dlv3NvZTXNOyleNEBJ0idYVYhU0ZxMEDHM23EljtLiexrP4JxeI
GRCKdz6cCj3VN3U2QhnrQXgxMFIGtsj7iDSTx1fprEFdmGswpKUfGSMdQmfMkiqHlBmRD/E0GbA/
mMIKFZz/vNQONMuFC3G2NOxj31UFJCtQNFXMbHer0V/LQUHIZ0gST2rYusQsMEEibgwKITeZUl9X
901meNkx9SHbwzXS4tEq0hWPb14DZcNiOatiidBHvSJUJlH5fJGPfRXY9TB6xzGF2/lrD1P391pI
z4AGT/gJ2H1IaQdqXngE8q9h9acgs3SzaZ1FHuvVKu7Ywu77sVAJtKxfq0LVgYu292KBKzx0lLdA
RGUf066A5h7yHjEtGHZzH5qjzgictbIDWd1WeFPcpvIQbbPSYU76lSYZ0QA41tqJ5epKLnMkB45N
ScOx9w4mjKJBTeDnzbW8XaSANH9q92Un1CV87kPEpqW9zbr524Awv72HMLIADcJLa8IytTrIUit8
82QwmY6coMzVhgv1kD9OSQ9cJbF6Km462omLWXrNbWXpEe1BkQez095KNobjSCFxmVZorAo3URS5
dlNqlBAyTZKPUl8so58Ghg1jSl1JP3ILa9mPcDtvNNLHdqMmTyptgy5f7pl22sBuiOYSkESYOb7m
lnKMrWH4y1fEyy1IEejSsGBjE6tWVs+V7Q4JniOC9zq2q5ZcJbCsMYAh/llavbYppy6SzJBfkR5g
H2FHNuvTQD2f+8LQAZTf2K9IIoJ1nKlwhOvhaLAVhhKzwowOBfB/qtQPi9eZb/jnKvUjBP13fPn8
W39WKIKgUN+2HUR+ej5anV8qFAYpdo4rYrZFzlzCv/Dlc9Y/foRKhC4J1eg8bv2sUIgXhdcKkhZ4
BlCgPPffqVD2HxzNLxUKnjB4E3AXDHMX4k5/rVAYJpvGTrV54YplrJJihiC7Y111LFOB3TtcsXx9
SIcUfpFRxEsGC38B8XKdp2elcQx7AqIwKnXXj4hXsmV/RWcZ47UyyKbLAlqrra0G5F4gts54lFm2
S7NNzrILs/SzoywQ8AAhqI96s2IAHnCCIfzzu3AQraMniF+dlD16MIdHzDYwEi3j4yrrZLFs6E7d
+bJYRqgPMKvj52S/zgo7y7aP51A2hIuJ+8aYgCn35KVoh1eoZL8zjAuhnCr4eSx1UzO1BJVyHhdt
PPSrQzlw2hDyVRbMq39qqNZ7w6muqYkhXDXgtxTsOp5L8QfT4dVNJwd/cHjuZxMeBmmFpVUUHBmo
VoioFOxeaT+T6ourL3NEZfCBQGa79Akt/TxMvbEPF3vRDmzERNVIPsRME7Y2PEz9YI/+k1k4EDMW
qq+TvJlz8PpNlWAC7CIYRSY+OqqNSNovHNFhKoKNDWiB1tXWthCrGdCiB5CQLeNVrjsTH0z0VzPi
3+KpnTveegKPakiBW/YOtEZdicO7qeCR6egXufZI3wDoGzm9w7iUQxWNU448S18iucVP3Zh6i77C
2nR4OZUkLFHGcknlzhcrRJGVUxxTl0BV60/DLs9mL1Z9pnnj4CU4YWcBkTNyO43Nanq1fMkAWnWo
8VWaJRD0fpsx4iIh0gcONQubmx3MPghEk4lD6ItvIHpt6hAC1LRYqj0iOwSZhkC6pbhkdlZFQDMp
sHRdRL7ZOLEjbKSnzIMbsxyxEcr0Y4TL5LxDls2lt8pshycH5jJdmid2FrBauiBJShw8G2IQ3lgz
XGzw1MFY50GKUvdG861FFBaXQ4Hp+KxHHpnR7xdUc0hkpz5GRl0B8wfyM9uRighfngOlvfsK2Ty8
dzp/NQ3HjgeiDbQlGPNjaEtz3jPmfCM1gkbzFE3XUhcez+qeIqzBmZHOupgG7rKhYdlM4hv2HLKa
Sosky4pQ0igHpAc9mc3Uxp/dvnwVtdQQApvWFeIyuhDs0rAf05X0e7st4LJTt8IwsxCSC0yDtl9t
pOjuteFnAVlRNCVcj9GAYurOw6ORdQ94hTJk5/BdR3m9IpGlhrapJB5U+Lq8Nxt5WcKD9FX7K0Df
PMsPemIM6BQytWBYgJ8PUmIAnYFsvG7rT/QlF/PXiSByKGPIAPSN16UcB7gRi0cbJkLhIDWKLl5s
IwkvEHV/PkT8Ix4FXEH+q8Q+NSasi7Fmt4DXLzsz3yH11uNNL08ecZ4t6j/MwkDSaa8ux7VnW9b3
CZQsN2hx7oCSphFBHh86yz6aS6T3FWmhY9taUeMb5QDEbvZLNgQ9y68z0gPAz1Ko1eGM2LtkfVLI
nOFLYyWFzHeVl14wG2pnhaZRY67ATil63mCxnZOjGu40fvGtZE3zlVYj/Jj2jN7PmdD4d76zoxRZ
TA409OinYewbgDvVZGoianeXcjFu6DAscVlVxS5rIGxQaCOiSi8Mt2ScLZcjRYePMymVS3ZVmz7c
5dguV9N586wkTcP+fNGxdfOoTAs/JkB0rkXWtyGzBrDlcHzEQ0lBI7iYPlrH1NFa5gxbOxM4YTwd
K+RCI7KpQIyRVzuRvyLYi/buK/T/a1g561aP5QVpun1tlwd3UnVkL8SK7cUWkU1asN7OUGxyzyWx
SFMzdIhEijFV7hl94UWOEJ+0KKzYshWO+hJ3m9fYtdYC561o7IzTHKElusUpRbrUjBfoOa9cmLmS
fIY9ZCpNGhtlBclHrRbQX0h/bmrhcBxT/4Ip/zOQm+hM/rnVOT59f+mffm91zr/1s9XBSxCA6Niu
Y6I9QWQBZGI/qXR44F2IzNFgEPvcbuBHP6l07/zmBB9nG7DfH6Gnf7Y69L88iph0hl+ArxxG+X+n
1cH7rtDK/NLqsPNL3+HywjTuoQXATbxF3+CT0oM1mtlF6tfglxHrNg5uw4XuT/YoHtrK4K0a/XAt
9O48xMZNnQFLnxJimi+OMXfB4ruAKhdUG0/slfRTvvrlscln5N4ZxtUZQMVwwJCdU4t74uMox37z
I6don80Jvf/IINeZEJ9nzo9U1K9mWUUuwnk4Anm/Ul+EBti8e2DrJGlAp2T1kiLEDiMjblvC1AOo
CbFrMFVZj5OAOaorHDCVtjOEC9xkmFzT13kZXmzhUhg4CI2YLNsAtOeNrPIrlTXQvy/3hu4ESJVs
RtEExVoZ7s5FGmw40RxPwM81POLyG3PLZ/hzT7VLKGw9+IhTj0ZgaM1LQ9iAA9C/teu+lMUcl71L
QGFbl25ZXpJz/GFRiLNVFXEWAm1nTJ12hm9ieU6HEq5TcypggkTDsuauRgkqb+dZXxbTCvsIGZGD
YgvvsNT+zVDDP1ObV0Oz9JtSOHVo+Os+F/4uH9W+lfn/Y+9MuuO20mz7V2q9ObzQN4MaVADRR5AR
pNiIEyyKpNDjorlof/3boNO23GTW8rg8yUFKNCURcfHd852zj+rDxOPglP0+0kioRYJwLQFl7pMd
TDyFCTPwYnV+aOEe7jySu+uOSDysdGkcXN1ON142viv9RBy3jzVfLVUA2kXqcni5CrA642TX2r42
3Qp+cxheJ6UUzEvS20wR8jaoK2+J4dh+2ZXxVdjKVjR4nhKHrVL9MqnVvG0joyCAHbMtjpyExZy5
ccqmBtrYT+Siwo2M6nntOKWzYlH1BssST5vDIjVXAKXkJWr1WIQvuTPsbU7tc0KMMOA/OvFSTwic
l2OgAr1KQk2u+9JuD7pe37GJjQNH78cgHS0eyM6xbtTWNHYN0XY/6uY3cujGqmo79mWKCQExKz2/
C4WzS1IdR9nknjnrvcAd7Y+m6sW64UJdDnLh1/Aos2Qdg6hP8k0VYRTRFPueCfaldzKiUCw1V63r
5DuJpOG30XCvTGG7h6f2Bp62ZLYJGdGiEtB61/MYe84FFCGqi5mbO6Wwvnqp/o3149ZRRgIaI9fX
gihKpLj1yhzKYI7rb5NnctMdiFcHZevZV+D60jxoMyYXNmYWK+RxgWcaw0c+xU9jxGdez8C+5l2H
N88ZN5MhjYszFF+HskJlcxNiDq3s0P+nx5EFOKtK6N1km1fu4GUBeavJzzLx5IpuAN8K/i4RAOQb
3vRaHNkgchisaxfRbLLKL7MIbxu7OnWj1wadKL8nsr7XjXhf6u6xdwlzyvQIcGers8mOFVLfKcB/
MfGKY0omvNeYd6qwe+aXut/Uo3Z0DWwYbGf3wol0nOz8wb1o1w7mkTH1uw0KtM2wygrHXIuwmA5C
mV71ZetSa9Ja1aMcVsnU2wfoDRt3jMawgzEr5VOJiiLQWSr0rFhpxL1B+u+R3fKAVUAHQGCrbd/s
jMS1XqJMWAfZQvi65FEeuXtZK+ZLGNk6+ByLzonCy2QAMOgJtBiBuVHn0QgZI0Kel50pSPsMKR7l
gedubVVs4RcaQmd28CQKfYVvZxfb8xKMg3Q+JFG58kR4def5diw7iel4nn16Li456ZeHTuOEK6qE
4ynL9XUXpd+jxrk2NlQ6ZbBQYtpql09Z7juVc4fpggV//1hbYt7wKd66YfOI2sVNQJ0vnpkcu4xs
UFWpr9oCFBHlcJsOxZ02aLkvZdju6lxJeNbCW0DPuj/JLFspUYrMyWie7UvB5rY1yldH9NyE9a7x
yQSckiz9prsDp8H4bXT0TVlP1Wp2QRSYUF4xyKBwKtkXdTyVGHmKbOfCmSznLevPrdK7t5FmJZt+
Sr/bRnyYC8mG29DB1iZrjQ3KSnNJNOY9YqdTDPfFbECdCjn9mqKINqUB52GasD9yMV1LMWITNYst
JDzNLwbAKbpd3yWp5QU5kltYMW62auJzucL+RT1DHes3JjSEwIqUDbG81ofD/ZjZpF+L+kaxw9IX
qv2Uuv1bOtgwjcf8OFQjNIhRHsNqfrJqUldIhZMloORK+1CFKLFdWiE+q/uqdV+w1yVbQxVoBYqA
1kDtSGkkkFy4cZcToS+8Io6XcQvUzQ+795rNMHPYGq48pgWscPo1bH7juGns5mBKF4hFElPV0Dh7
z3Y4nyn2yHoi90pyDxXute5gHHAfzuR06oXymBn8qFW3XjedkBw3/abQoo/U83bWIMjz86th5X6X
ffpetdqx0OPt5xj1f32eXHqy/tM8+T856533Pw2UP3/ZLwMl2x0Tfj0uS2aET6nrt4GSah4QEKZq
fCpnOru53wZKaG/sF/F0aigCyy/9op05PzGEgj+3liqvvwtVgv/4x4GSSg3dxhnqsEZSeZR+P1CW
mhEWPPfdrQD0enBzzzw35Xh0y5wsbNc82kUR1BgWdyXz4vwRk5LmWsbqYapnKGfamF+9uCpXMpuu
MjIPoi3Eps5BeWgzz7+Taco2yXHAmFW8ibIeI2XN2juqQq54QxuhCfU1tjanyrv7Kaq+MrtRkWKT
zHdAwkIV0Vvz0I/KfLCqkji8P0G9OHR5Fkx6qOyk0nyPvHKGUa+G20kT0LK1zNvnOAoeK2b2I00q
2dk1SmDQyX3VGTGlIQV2okpzE1boJO2d3sN1ZcxGkOfIIVy74Udq3jFzAMTVkeZbUpdQBaob16I+
pzeEt+lz1D4llDBm45Kg2NDeaG3rof7XX5shOk3gAGKV8abVz+gwx2GWaCwphLkENuYqdV2fVxRB
Zk/Xwakpcs03i76Hg7BfpjnFMVVbNecMtHTfjVtt5zXdXZwZ927K6mZfMefKa6LRk2TVlV8iBux4
6bflvS1Vr1nFHXnkleGE5tbQhj5dWaH1PQu7YZ9MotviAsmCuSgvU9reMNgeSlbMtaofXalsRDsc
lMIOxBxtWkpZ1HT2raR6Ryq4693x2z+Hh7o0d5l8lP79ZRSaJFw2P3/9qxvp8qU/HCA6QEkU2cWS
7y3gk19vpLQiqyDLuFYiteuLVeO3A4TThounhfy+iPY/iO/2T9ifDB2Wm/q58f9b6+G/oKbhHUf+
52yzKBChEOT3B4ijRRo1MZa4Ba9K94scAUgO07QeEZvZEUUaHIVskxvTvixKvVp5Zfy18JxD0Scb
aNNbkSN2dTXeTeV2VlC0zGLy89QRpzxxxC3VXY+Taj5D61cDt112nnxW8Bd+sZvwNmWBvKqyCMSE
SB1uh8a8oF/TSgVyxgwVuNagAoBVb+Y46QNWT/0WAHqOf9MtV6UqKbPRoCylDQ7SaAo0N1rPoUhW
nmqJXWcPXNaw547TwvTgY4kPrgVPAKU/6Hv1AY9h4KTTetAJ8UvPBICgMkpbjfVm8/f0K0qAWMOC
C0bIEvilB6T1Mn3z2Fuvp5DRmzqdjNt7vJ9LM9znVYqHGVi9KBV1q0LKOFqWMpwAW+MN7wvC4bj3
khoCowJV3W/gn7H59a1F/BtmcyPtjhL6GrUxqx9sJ7qtao16KWPAuJrUG6MOO2YBCspKBU7EYKq1
j0d+WmV1d64q7tnZJLjR9kCHGm7Upf5YpP2dh+QGJiC1VlhUd45Rcz3IkvdeM85ROd/MetH7HZci
pqKG2jLFDzuO4Szh5hC7KSqy7vkkhn1lBggpshDgmki5t0H0xfBq71NpX7OQijBkiSHQ52hdm4W7
GRTxVuv4A3W1vdENpPyam6lanIoiudXy7mgYkNXIzhzrnmcm7NpLndhy5Wb806j91K3NBUBXRn6b
dtu6Ns6OFdOC5AnFr/sUGL0GB6NStvCZL9ko2vMMDJWfXtL4nWvf8do8e5Bs1s1EZtAsTOAYGRcc
Q0Alz03ZrtNM5b4LL7yN2i+jN8abPi3PkRm+THU/bXLF3UatYQeWVB/NGlqqwU1Py9NgqiWs9SS6
MnaftBFoSjTe1K333thDFRR9y79ha++jmgsd9vuT7Nrb5PPVKz5fwwD0s53Dq9nLqkd2DvQYzP2x
TWbzXELoOaTS+yoy9U5azbtbTX7DMV5xnEdI7xXHu8cx33DcC479RIjDyGugFPkFZn4WgG3p0Dh5
V9i8NGZb6bAvDgadVJ8vFbPs53vdns9R3bRbDfzUhv3yuBoMm+9rbqu82Q7O3C7IOYR949JYX1tk
eoBo3kPpUfSUAjzQF3urtPZDbKyiar50s74L+4TGOau7ctgh18hA1y34UgmhybAOL0Yr6fMzCBkw
OYsuuaNHZbGX3M8VMQq7QYuOmRhWOoZ7flxOufUizdiAa0o2BqFIgEHRcgHiWNJjl2QEWwOl48kp
Ky1dlUznq4JIqDsqz45ZfheN+k7nXEYTSP5I2d3J0pjhR+T7wFpa9NQGp7WTVt9AXoUnLyMaMhI8
mFT1UoiCD4NTa7eoxx/GDI6buMhH1wK6KezxjpUZEMSyf4Hpt6lN9XlKnLOb4w7FfhkUI58X12xN
NOvoqRy9LsBtsqncaduHIlCr5uIl+VFF+JnbqvetOrzhFox52M52opy8A7DdB7cLA74zCDbP/KKp
lg6XTbCBgE+0rsZ0XNeKfh75GFzoBbxjdNiNuZn4ZQ4SxMmZgpaOs0RwUbMcCe0R4rTMWtOnE+I1
rqvMlxOsEjuHr+0KRrC3hAsqZv27jH8T3gOar0dlvpK5e8Ghs8G9yU+xB4hThRDz+nmAgtun27iG
yJikOZEXqbwT4lm7bgbUz4oOuRXdxClsWrB8/dFUtHLND3TaWYCNRgzuWlGRPRCJFnQuutiI2xLX
dLQfxeiHSpC5xjFmY4wjxnlR2znZcxzjejYpfTTHjRKjZSTh1p6nxo9iu0MmgVvoRe0byLbEV8DX
NJYzr/q6JrcJiAok6H1njSdTbVNsEzVTFGd9Vt0Mosr3lTbcRnK8UyexBok2bSzbOYra2ymAS4Ef
Tt1m6PSPzMPJ0TrOtYiddD3ns/FzfO//+mXMIkP2n+Yplm6yYaASrfzTjeznr/1hoFoMCRC1F5wc
N5/fDVRcuEjSQbpdnA4/DFTuT9oi+2NZ0ImwAfb+8UaGy4EyNt3G/G3jSv07Ej8D3J9vZGDDF+eE
zZ/gs5b1R4nfKxxs+rh+b/MewlfI2S3UQz5q5qGc6fLxU7t4QGJDQBmVk1vSrZRaRAMGXEcxY8NK
k+mXMZLHzB3vezSZKeR0I5uARjoQmaDu4uAl8nEgC+8Uxt5Ce8KEJpD92lvUrAPhG9sfi3qfzPmw
KqArDmHE+OF447YxjO9g+JDFPy8GSQYlEJbNuskUrAIubLM0dX2TbfbKa+Ovk41U0ubmtPZA9wZq
U30xbRiaIG50LAMR8YQZ3AZUaRMBz2/K8Cn3NMw+xCOatg2sZPhmw/BOQwhnlua81amT+L2dPNt0
SLAaowJ15FNfs2amKeXZjsyt61Rs4gYDiwawcaOFF2b3Ftksd9eOvDEns28oGBm/TSL8VoDkVEVc
8zGWXxO2HYwT2TbLRvJVUbnRxqGhB00RKzeq3iPVtIJRK58rFvUrXgFGEGJbtBf/IrLla1JZcJ6s
BLiYpdObuNgdF9+j3jpNYFL0g3XCBD+7+COHITtqVt1/dWkf5V1BLy/yWo/ty0kgmjlik0+G6sPN
ptQljlWyFnifusUFNS1+qGxxRrmLRypc3FKSp3nFaiNewy2ifkAFeFqqbXJMVAG0wxskeYB+fgTU
HQdCXcDBbU6Qyy6czTxk2VfR9PohcUhs9G1R3LWNVl9iGnj3LrvnEyOsEfRTLg6obU23UkwzPWE2
qJZ+mfHUNTMvjLlQw2+jmyguhQhKjUisXrGVaeuY9NMDtg5m75B1xYuCb+a76ebdulguv1Cdu3XG
fZh4CGuT5YqMU4znpiFwzO2ZpBz/6sO65lbdcrtWl2u2Unc3zXLxDpcruAP8adUt13ImPMj13NTN
5cpeE8xLuVeva27zFBPh4lwu+OVy1UeIQ4Q3My0QixDgLJKA+FQH9OTe+VkuQDgQi4SQLWKCR73R
3hY5AsMiNSguokOL+jAuMgTtN2TEECb+uRx/Xo6XHP6/vxyfP5q3j/c/b2qXr/r1GMeUtnQsWNic
gRg4/NKv92LtJ93ECuaxwv3X5fe3ezFrWN2hHR2E6M9X5l+ENTa1SHEOd2PD/LmC4e/YpvVlE/uH
Ta2DdxsimcdDTcPm7+/FhqIPmqyz7FZTTdkwcScV3qm+MBW2L7RXrgu7Yfbs6rS+ak4WdOSLsfvv
SPyrYbotlxUdyZVUuo9U+NBxlvRfNMNsjuoId/g5XFR7W+LpnAhE+1SHIOkvaNS0kLtKt0gbIfyL
bLodlbxfYcd7DbHk+VaTHSuWBXS7kJphfTCyRqiWfULnjo+sVt9t5rjKEPwHjLnaRaO1oagM41Lr
IfCl33vR6OsiLeyVXHYXFY67h5B1Bnag2ZfqRDZy1G4xrV6HIiVRs2xBomUfMjburrcr/FkZH1tb
/2ouu5NB8Onvl32KAACy9pYdC3VuJG2JDEPjC1mP1PFzx80sKK0q20bL/XGuVG1jkHJk74fVhp4l
Ge8ApUcqTiOc8Sv6JkhS50q+4/DEamKm1rbVNKbmuozuHOmMT3bf4H9ycMS1Y2LdJqzw/UhLtBtO
qkM9mvolLgVlUy1ynV0T02nIFm5iQa8ONQ98az11n0KvljvewWwl4sWs1mvjSo5Z2B5SfOJX3g/G
0a0ak7nfm9qIP0NZJwfTUWxt72U45zf6kFHDiU76TasNM8BxvXLqND3HfYdd12XhDvwypvmYd+S8
Ua3iatIAPNCOJMYVbvEPtvtPdZudhMrat3CGbc5Wx0c/Pjeecm6J+a7iIgmsKr8b4/JQ6c1XXclO
6UBcu9aLL0aEm17G7pvJ8kSPnBs8P+ypYulk7MKnRF8bRm/QZm3F6XzWLBVFEF9dtmgVhtmH+wz5
oisWXPiiaIyIzetijt7mT7UDlwz7eBQQsWgh1qKKmMgjQFeZnYlh+eOinRjxuO4WMaWYHqJFXZlk
aQUYOVN/WrQX/Ig3clFj3EWXYXuWsPCImNj5nYt2EyPiOBPdRJm6uCEsD0TFovVMi+qjIv84iw6U
NWyR6XBtD6oqj3Yy9r602LolOcUhaqG/2CPI93AS94MzogFNg+eHZetQcckyid0hspAJPMxxPoow
es+Fm/t8unyZAmlJlfRC8SQX2F5fa2rn+F07QYzUGu6WYvA2Lo++qplRUKoovUFoSe61SiRmdprI
XdmhbKX48s/742dxFUHz378/7gWxjL+4Bix0pF/fH2xf8CqSnHEZ+D/F01/fH7Tx8BYgemOoLG+w
J/+qq7o/uRbvFjhL2iJ4Lv/BX94fxG4cbDmsbHjCPZY2f+caYH62rP72/iBNxqMEall3uWsYZFb/
kCVFaIJ3r6bqLW6lJt5YLloXWaDurUk5ME0IEmoRZjtWEKWfat5jKCk8DxvCK5blfJNFfs821UM7
04NOSlLAVfINTP2+7etTpqQw7HFYrpK6hyLQS8BR2gtPPSeUPrTHoq73NLPDXk9uaZzcF7F3ZsRd
aQ2zVxfCSe0n5lHIHrsy4Ro70LCO81cOtvCFMl8yyA8LmPxON+RXD04s0355nTJFWwnij0qMxBb2
JPRICG0iYPB5+pwn0wt9kVTwWCkDKBzNpm59rbCOZCjydToT+hSCbUpl3sYoXcuH6Thb1U1fdke3
Dd8rj+ww86U+2dnVHLlQRGV4HkxmyUhXvg6NtW5dXXtt6BgkwOMGc9s8Jrr6HjnEMoeKKkLkjAf4
G+/d0rFDYGOXZe55yqN4rfF3CNXsnMzVa5vCaO/DLFkPLKb9WK+tbWmF+3DkJtG4XM+q8LbthpfC
ptg9c/TT6NZbaZJF94qC3BDFRS4vgzq0bjOd420BWHSDxlVopprC9jbdYJ0JIm1V6fZ+66bXslDx
aZcjkfT5NBDjWQ9h9ZzElgF6AD229rLHup0cCuXlszUPR8JUDd6w4rtwm7OuGdEpzqIbLzbjoJQ2
bQgc8dCpdm3Itqitoy963uwBobDTc6R3GOwOiIEdv5eRcx+F0xYr9UiBe3GYlq72zlA+RsrbZ0rc
7VQ+8f+xIEQjMXsXZW1pfI9TeSk/O+Apg7dPYmmG9yhwtfk8BTincfZQH19o9Y4JfWv3Na2hS8M8
v5Hi3npdCYj96tJCDybqXuubbUo9vTlpqHr01VeudWwJCvtSQC8uKbXvlnZ7XoQbc+m7n/GdTzFG
KhMvq5/NzbnycjgXxUJLpQhQj8Qxs0yyzkAqMoIoZjYc0hjSa9xAYqIbSTXDo5wtsIBu4kxvXSSa
pxigXxDjw3FXNi7gO31xSEOLaArlqlZefYeblMIqzBcbaaibTIkx8evh9ywaP0LLU3GY5z6Nj87B
KcfH1m6+yQwwQCXE1YmIB8XZVUNLciGI+CSVgmp0iOs4PYkvlfseMF0w4iZ/uWpdOw7X2zHdgQw2
13FoDhi5nNlPucBxKS8CvBIbw55eeSEH9Ti+uCH8bG964AcNTSJV9lOinFgcbuNM2Zco5Xam+VGa
U3MR7sj9wwXBID66FRT1+WBU8kmrmwCzWxToUI974AQrI4GGndSIgRnclNHZDh6hrqrgB/Iom3Q7
jR1z5eD3RbdPKFRdZZBNJkgkceI9FynI5raJT33FpX+uE28zFna3wgu+82oVQ6P3hjWIDwEFDCNd
ohlWLqOazoTJ9kOzJHp1rOA4bPnZ0sSidLuubfCE9bfgTII2Nb+oSVTwHm9Oc+bYWJPLtYn9idkB
xwwu+g1ZonurCz9qu+Xp7Iu99CLXbyl70CJn5JZp7UyjwNiFuh6DSUgTi3ZKIuax2Z0HpzwyPZcM
tMRMIheGO5EGG0IJTdPNpG49p7vQ5/Wk6tU+RHK0e9VZA2ng/BtLbIq2uDMoB/CTubk1VegzUbpb
pBNG/ZvQnr/UzE400lxDnfLWumcKxRY2elMwz/rGtpu1oWj0eUJ2aDG2cwobG8+SR7WcN25p9r5H
M2pdqd+gpdJAoncv+J/wLQFR2tMMdNHIMVZRdNVm9+S5E+LDrCQbG6SICiGFJADjVBWlazwqHlgW
qyMUMF6MXNlk+XTRPfc7VvNNCYi7teW6bVxlA7oB2Ab9bpOsLtJxH8aEwpfCsmj6LCxvPVIg/JyR
1aEOqP+ett0xHtXHvCvZAYlT7GHl7prkjmVAoCfNdyuitqLTqhtYJxtKZh8yTacdoM8eOYHXbWld
GwXlKlK9r4rdPI31eByKuFq1VEWjLS3Nq3Q2ozPFo3UbDdHRlMt2ypz2Ye1xOdHCejJ3eNOzR3z2
QxbQ66Rt4LuQBxzdda4me92CjFQNBRqEiN9N0NDB1IuRIhHt1cPTpTUgDhgXoiCCNj6ye1yFRv3d
kX3mezI7y8ThuJzGMohF8iRSHd+RfmdmDIq9MOH7t2+Wqwcs7VHtp9vWpuVN5/xq6F5ZlVb5ME7K
I36kLwgXGW59I6hylkLuNNz2GVgBuiTu57Jikdal3bWReAatnL4ks1RJ2LEzJNynkdf935L4f7re
OthPHILLFq5mlXzy76+3be1S+OoZ3q12X6yeuSNeap9Lju+9frlrz+KQrIUvd8nJ2lLNtAOXcrCi
Hbea7T8D7ueAa6A9/4cBly7K86v8+KtoOV/4w4yLdcC0EbNNl1GWX/p1xtV/In2nMa96BkOwynj5
m0aCsxyNBPc7ovvvwHAOKji5aRWhGwFF/XtguN+zDZZguQsQzqVSjufI0VWE+B+FbgakDoAHD7Iq
Lk1krinNCH74R/lXmP2/yq64ALmS7X//P/5+P2gwywyNHm/znfgbIt2biPY/fgeyN5nROfRXtWaK
uvmoqLeedW3NnRZehv6m1db/+fthv/pfvuPyJ/qBjqGPbpNQydbdImNiuqUHlsVWK5CDRSTa69AI
99BLhlY7s8JVazM9EYarQ5pO1rKQDvH20n5hAajvMUsuSDDWjVorjJXhxieLTWS5rCQrdpO9kn33
2FWW7CzFsrx0BOnsNKKuCNehtTKWJWezrDuLZfFpsgFtl1Uo1wNjE1WJ2IYcS36yrEydZXlKU2VD
3jyhmtH1K/arbt8fwZIz5yfwzNjA4jdgaxsyEtRsZ82Jbac9XMOQPUGoGDswc5eefa5OeUapLv54
Nr0owMu4+NAsK+C+fOnZCI9shvtlRazJdgt2ZmtW7iFelsixLYaNUrFYxmh9pm5hvnc4GxcwxWJu
EovPycbwlC7Op/rTBDVXJv9HVzSjuM0j8yRVbdEwZl7dtKwFRWfU3zLVPdk26SazOFVOsh8z+kW9
8EZRs5tptp9IkZNRI8yM2ZKNsZ68Iei95+T01oNlnsfKPFBPHfRZdZLhwDtp2k9GclFB4pVhHSTj
dAIWcGL9KAKJEA72ZTi2vfpUd/raNMWSTJwfrJygD7bm7CbpykuZyS2z0U02ZwcVRRAwDIi4TJKG
rEfcKW1P0NmEOceY+1DLqUFiUKONXlTdvusGyYpeb69uUk+nfBK00Lj6MS/ePWW4NWP3ru0arLU0
vVIxDJW9Kg5hnly6Urkf+nITK/xYxJJUSjxst/LdiZmDNTu96tGw9roClXvUAnZegZni7OsEgjy7
Zpt5bGj6DcNxwKhDGY2Kq1zwCjIvRVgTLxl5h8s86+/GKb6zQ23fDF3gVu4z7zx/dKzmCy0Zho+v
53tp9DxNHjEFyrvmEHAAlxwt6z9UXtVlZwe1qaU+J9geOBRik5GsbWXgrR1d0HXOJlSg2iq2o2qt
SZL43Rge21bsGqakdpaB1So3WDwDfVD2HBTXicUVYRa1XRkm9jrPeDSxA+t8Qsht8j4urXzaQeLK
903Ouj2BRW1MyiFr5y9thZ14yuVNgrc8JUeSpj2PNdAEVs76q9elr6njnkWdo4KlNIwPbTNhxR/g
DIS9u/s8Zv5Z8S7H6X9+6a0+mvK1eU/Kv3rz8dW/vPk08yfNWMLlHo6Qz9LkX998tDC7KkeQqdJ1
+nPN6S9vPotfwXVLwQKhrc9N7q/qjvEThBbYYfjwkI2WYNjf2A7Qo/m79wRxI40UGQ4AizcwrZ5/
fPd5kDO59BjxjZIx/Vl9IelAnIy93U/1CxtBUh+ylg22lklxHNxTM9yUcKjblN1vlhJf5DJxU0IA
DUAQRmALcYr313Fw6fvpNFNbsIxjPXc6Knif6pzYBoiLMYBRFoIPdbR63hO6bqJ2Kyslj+9dSbii
sSQ6bqk45KXoYk6/FCLvH0CCpDqWMnW6jzUX7VWnRHpTQRedhczbHSor7YxW5zyWWk+se0ol3tuC
+qGVYVXz5Jsl70QcFVwOMsbyi5H11VejqNOvilVxTnuapCCrz0MAHlrkrnI3Tc4zM2bnF+FcRL6b
2KHvCX1fRmrhk9DszqriFDeOXfZ3BToF3vdMN/3EKfsddhwL00ftvuhI2TNjuCewcTSdTbeOm9C0
lMLmvlPwrcz+LItkR3Rgfit0Zbnbm7xn/EmtLYrEYC2mgCpMo8vE3u0NubUafiAtB77Sf5VJo2nE
slEazFTr4nJNKD6c7fWs48bi2jwY8+ztuFHy26aqibYOdsVr2/Tpi+GV7dVzWodEmK15q7w14y/F
0tlkcNZchMK/5qVUol5dR61K8iAKBSbJWNc6crqJnn7N8lbHc9ZhdMYgwyVlKNUk36mfZFfFXSiv
NdrzeCicxBw+7MGNPpjXnS0riXCTJzEU2WQByrYKSadCaRwcM0n7HBta1dwu70LfBh3yz8n1Oa4v
8/O/P7n81/y1J3vackCVNHpPv1XHL1/4y6FFwlSFaYb3BIM///OjM0X9yaOT+F9jt4W4/Ou47lId
zxepNutMNOtlEfqLJM1JR7M6Bx2EMm8JEvydQwsB/A+HlgVPCmcM30k1dYoA/zCwlxEDYd671Eiq
ebSronAbE2dbNTAbO6efMLTr7WnsgGoa6mxsvbG70JI0A44pvjWmDkVTgQkzxdbaM5hSo8E2VqkZ
wxOOWZClyqAHMRgC9l9LB+wwFpcaVkdsoXxzJMJfV+ejGxqnxjJ3roCDainxlizSU0hY0oczc56b
CSM9Ea0dHWiHqCDgnpnWYXYB7EWmc2Zh+xBZOAxk4l49rgdB2SRXqTavumWWFLNFj32B53BIYuLX
I+45gjdnu3SexjBDjDaMZy8XTzZ9Ul6mnQYHLccqztIFn9kM8UPZwCpVtILoK51ss3lXlulGixQY
R6Mf1dFGov35bVMxhYpnXlI3Rlykq9gat/3I5oqH4hXHHK0AI3gHxZFr6nDjFSmLHDLUaFMiUk84
5EpWAH3PhJEWt1AtsTREjN8LS3McupshZ3cY4dXdYmvZpHZ9N2Zs0iz8rr6izxcjtN90WQE0mjaD
qxEwjMrLaNqbCUZrohdMSU57sTvnIa5DCrXM6dlOSHQkg1WBOcHmnJeJ2BjJ1Aal7mxlM1+bsXQ2
jJuHUcs/wCDVtGbpD3bc4FLO9dC3hXeb9o5OobazG93oviaWtbexlqqUt9kTxiZWIZvE6cXCDVsn
ck7X0pD9tunc59jGu9HVpb7KRbLVCkS3rBBviHoiSOWE57PW6ONEW1QjGhOmHSnBdFUU6bemMT7I
U38MQo12UW3eRDYOwZ5WuUnti3U65eajAb0kUCfQz85Cly3rQ2HZ+9zSzhYt3o0bZRtsrthqRszt
emRPW7erAAOXVifXQ69ck2p49+ZsaHz2mqmvNvV2rkFoObI+mEqt+7VZ7TybGVoABl5BM3bp8IZ5
qkQ0uzbja4ZHE6tOgHYL0oHrA48uz5H3JFi9+nEt+3tm4RogVDSuM6ebeBBix9fmTltLXOO8Z/M7
r48CQoxcFRMimp59CvtWQ5ykGpCibD4XDpYbN63YnC9VwnjP1A0x6NxXk7k7TjrraiV+M6LBvMqw
uHMbqCqjbTSE3Pi7xHIYcHB36xY/LJLbfCsEnxRoBbzl4+oSOtYpLlQ1qP4/e2fSHDeSbem/0vb2
kMExw6y7FzGPDJLBURsYKVGY5xm/vj+nSkqSqVR2PqvFW9SuZJUMxAC4+733nO+opIRYEV8glWzT
iF2dX4WGQTZ15VzS2fa2g5VfDLJo7BqkyFr+1agh8JRj9JQaaUGyXh0vlEGJF2A32NfMknjqksDN
YFLW+jiPps+ar3/tqkMUkW/YL8O8HOelx23Qpd7TOE1EPo/l0ZtAL2e6cqZ822QCY/hYBneKH7/E
LY+MluXc2zK+0y23KUE31H6yxkuSmzLzvrld3s/9gfsOI/fayDN/aYDWISSIXbHzy+ygaIN5FFl6
o4RYCYeObquDL3tpu5NH5menMCnzXpHPUsrRHbsqdhgeQ/xI3PAcVNzNpoE/okqiAM0Xv/jgYSCN
x+kq9woLAxXGvzqFi1aMyrWO8GqhcqVZAGlrpnRWP0et7a06wBWLvGyMDTKxoTNgeYy8FmXvFVn1
+ySvz6qnktUe5hB+up3HhHPJyYQJd51DA0b0J6qH2DXrfmnBnYnmdRvt2xZRxrzp9FRbhb2HwTkK
a9RqfmB8D3/5TzUjcwj/+kzwiLHlz8cB+Tc/jwOCnV2F4ChcwcTZ5KTwpntnaLThVEoRyhipi/pR
wxD4wF7F0Jq+LLLu9xNqnbLDYpzs0nmj/fZPjgNsRh+PA7ajclLhaKGDVCbc4X2vi0ZFlBGfQKh5
4zHNgDiHnuim0SDSRBJGN0HUuQk7kZy0Jk3PtYTWAbBgSjN5Yi7QQfs4oxsc8/qFzimGlYxu9WhH
KOYtpBkSikdm6rMrMXm5BObFEp0HXxkeRApC0sXqf2PUHcxcYIZN5i46jrWn1C/h2vTofBjiZOsW
F+XS70C2IAC6TalENgmTGoBFsI3MdquPDhC+FtCchAFaEguYSEAg7dTPimr1Gxd2YCYhgqXECQYS
LNhIxKASk6Ap+ApOhAt5cOoad8PIRk4aNNRRqQvlq7AxJvs6kREZy4bv2w8553vMkFEyo7F5aMtx
HbsMp01BpEDeUuSY7NRBsVNbg5XeV5ea3+3iStmjYL3j2zzmLA7Q6olOzS1GpFkcfDY7gzGfO8xI
UL73CXyozCxZFoFPX84Pzw3rK6uYgtA3wzJh+RAep67cKFb6gvongQtm7Sy6XrNmylDuQsBYNYoJ
5czrgUeZ0yM/dDR3reKcK96FkYzPzkScg+SmGYX+1RvrS6XOugMqTjp1DRCnkmhUfXKT2eRNF2bO
T9oUw6Ic+8s41Z81vbpHdvpF8QrygANWrGQ4WT1iYbuAmi58ejScBrd0jkm6hCS5ANp2QgfYzLVU
DmyYJw8pg2bCr2amCB4Lf7oyDAO2IvArZZggJr9C1D2sABYkOOekj2qkP8t5xri1GyAgZEns8XYB
bKxEBUPKrNjjbPNFYYIctg5Z98rIMIximchf86h2ya6jaTWzTRZw0iEOoMNYyZEozTxVUG2buMBH
M146JZGzOD2068o0u3nnVLhR/BgrU2GQPh2OyzBF85ZHLmR06jYrnviSw9rbEoFHMhXHNJxZjj0n
E3uj+8V1kkHH6EJjOzhujdstVW+ygJxx3PegpUFOVCZB7cjZ04Xm9UiIUWjpo/cyjqCdAK5uY9O8
qRqPcjhr5rTE58BsLoyaRlcP/XSW9tAk7MTaKmz5J7vBf0sbu5kDk7SYaBnnLia5wGvMgxpyznVx
mMxVgCtV0oY7MeZ7kBfgRfKQX6khA1J/qIV3UnofnzuMCqMP101ZhczD0ooWNORrn4gGp0yeg8RE
xFzwqPOYFIVNXAJJ60VQ70ByFttY4ZzEtEucUBBLsbUSXEdh6e8yw4Fl6XgXXYk2O3ItRvruBGap
4z5Hm4fYZbgaRY0YC6fKrhwnhzG85m1UtsmlU+fGevQ9d6GSUr0tymzvB0xmR7/Vd7XlT7sywrVs
5OS352VxZSlY9qd43NF+fSiUVL/UIo7zrH7xVgkNdx7guFJ0eVrwiWeMisfSjvxvdYY9K+AxvrKj
6IWo2YZjuqs31ew/NfVrTS1d73+9fx4xfLxUL+Of91D5dz/3UPUTVbFr67JCZlxDi/DnHio+uRTG
tLIsRkTMs/7YQ61PrgCtYNv6d8f+j3ra/IRazAWXDXCSFiAX+gdNQDCYHzdQ7PayMHdQHKtodxGT
vR0WpUVi5CM2kItUn7pVoXoG2nz70UbZmNvtPbCJ23i68sZuTXmz1Ernqm38Wy+Z4vkIWWBegB4u
s/FoHSJf+aL38S08XX0hdKm8qLJnq2kaulA+xqdoo/pZz1QnX5mi8uZBR0OdkdxnJeuKZ9FkIZT7
pF9GRuhBNIo2fVhZG8+vdlkfoHvQg/vUzA88+o+T0kACcqp5jxOMZiT+f/2pssQDJ2BtbjXDEdJE
Ph+DOF8UpTxJwm8xCam8x7nwOYSlscdw5y1Fb1qY2aLbuE0+q6M9bY2UdDEgiSvLmTZTqX2mHLpw
M5JHLfvsVmsWymXpQu1nvbttg/ARs8GmV/P7ulL8na0VCxeDWpp1FyJCzE8O4zCGF0Y7zcsRCjMu
2q950eDSyoDcWP2FG/b6LA+1rZGvIpyfkAfmmnaWEH57VTTxY6kh6OItrut6knrnbgHTj1R5BHnz
ONKcW8/wZrlZ1wibXRkMDgbRUw5WmvfIcugeeGG77PPoumDHwo48rQxGVnNKDA4KyddKCfpFo9Xo
Vyt1XVHpQypsL0fH3SD8s2aq12XrINNfmjA0dknG9RJQRKaPTc2untVpDBe1ah0CZ1rkdcQRwHMl
JelAkgjR5u5FyvDQiiBcwuQ59H5AYIoN+xO+ZWMM5DupTEoy2Jo0C+RG2TPTSGKjnCV2TYR2iLYt
tHH6jSHymiaFMNPYT2ahbIFFNau21lDEIbPWtPGqt616bguyUUr9yyiD1I0yus5EGi0Cfjml0G9N
YC1lmoCeti3nUCJdSZz8WETDZ0QKd0FdPxel0y8wj3uLybKgX8HlnI8V7JY4araUOdTHnG3asJL0
GaRfYZBeefCgaNIMm1Q0+aryITNNDCVnNGx1jVqcscw3fo99XhQnAx1lbKlrgNbqPA3SWdFR84+J
fkZc+Jmkr30j+mNO+3Y2NdkOktJBTXOGT4zGErWgA+w8R7W/dQN/bRlaAqSrvulrSZVQbsPc2qpZ
vmvJYcgtaxur/klRs89ZndxaMSfSZMKFrYOubPNj28VAJePhKkm79eCFB4NpVzb1m8LNt6IyVia6
lNIPdr6hUjiP+r4g9aWv1Us1MJJVO1ULz28eepsRcW1Mq7BqTkUrMeKTvatc7Rpewz4OO6a+I/34
BPlV1BE+o1ZHv7BPYEe/1CFqQcfXznVe3/twD70hOtKIowU+XmdqwiiShz5OgpXVh/d+bK9NP9+k
VuhsYUMh2EMeFNrNUYcLiWZQR5bub5HGXqVK59EfKOdBW207V33A9p7MHZUWlqu1131gYhjq4LDb
nNUYXj/QkN7YbUeVi+OXsxsjtQwuuvV5cjBKKYjT3Z6GdfeYVe2mNtVvU81oDtbicqq9h1AFkzKz
JyVLrzVar/PE6RONYwXKvXHQ9R0zXzK4rGSPbvBguPF2aFpEfTiCgiA4GV2y9/yxn0W5f+w9YGWh
mz13IaxPpUoYELvrMncvKvKI5k4/rNJSFcvQFHehaA+DMO71WLkgRvM8yZ9Qd8znQgw8jf5Sh6ZN
6+9+ULuTLsSFGsM1smxpJ++fNAXtTlj4Ic9JsWC6a0McMVdZ64fr0uEMpOvH0aUTx5BhE+fRGj1w
j85K3FEQ7kpmrEGA2QNEZhfCnteMGwKNiVqZnqPEPqNa9A8ZYJCt6pM6nGZHRcqBPGS0xmR+FoW1
tjU51+jNDeZ7Y9lXg7aBIsyz7L/ENBRIGsrV/WiPByEgPglBn0QN9bXNXAQTVVDMpdRhZvnqpk7b
h7oPz2U2AUz1b7yq3mQKHAaGUXcZhz8+840/JvdNGRBoaVzGeMwjtZtrkTWyrAxr08hhkft0wKZ6
4VjdRiEVppmcbVVbV1MiNpXv8tWIk1JWxKh241XXaucY/f1SRQewcCrpoRD9VaFbx5pEZGuJol9L
lm1fhndmGjYs/rhxtQyOQeok3SooOfaWYF5Dp+PpnA44CEcs5Hwk/AabahjXtp+5l+gwmXE3XbZE
GkeAU1cSCNdhNuva9LmDCWZYNHjZYcxZQDm+KDTpCPDxrTQbD8fzYkgatpjO7XZRAiC5VMZvWQUY
n6eYRg9ZPHrEmB4rgoNsK7nvcl+jE2mRXkDSCf3UGpEns2+KlNQ/9KIpThkotIdI2KiaaYwrUl6J
pKXPpl3iTGiJ+8RwiAwFrIU3Z0qowpVDr1c76tpLzUEdO9Ch0qa7sWuuWWp3qWtQdukZg3AHHI0o
H7yeEtRGBlAJzJ9dPKxbw4uXetM8d1HLgN55NDz92PUjm0yIwKJbNR4IVL1mtA/yxrGDJ1bWO1Wv
Nl4fnFQT8Wuk7wGf4aAIwiU3Uo51Tn8oJnNvh+mR8EZ9biEOjpIY9Ue6I6YIJTX43cV3yoe5SOL8
mrIN5mw6bQvfOphDuBEVAXNxsU1dEmdyNQbtitjPinR6++m5Gdgw8pEAqyy7yUgNmqdKvKeGYfCp
HF0Dro8gB2wotw0iBCUOtr5d7qEq3tP12CeZ2FU6O63uoIQtvnjRBO/Bvxo8TgqjWcAJYepYh9jv
mxf08QeUoPOam24gAbF1ky+WjqSzdrNtrobXlRYtsVPOXdQUMz0FETeo51q6ZptMUZC3Qtm1YY9U
/cqjjet6kTpr3XrVRGKTttpD5xhAUcSwMpV8rqMU5GjB/A5KE6t7/EA/A++S6c96zFku7c0Z3FuC
uKI71/XWujNdqh2jPsAYN2NP/zcq7nNhqQu6e3hQuvCrV+XdHOVCixNIv+hN9cLz9c+0NKxlGBXS
kUq/JNy6eGRXvk9uZjy9FKN50RSCT9wnzcHSuFn8vDdBZtrk0o6FWHqj5ZxykVOwUfBCZGG+o14l
hnJIGgaziq+vaiyUM88MxKyqVSjho/Vo9tF4dllpFrQFDsPgtAyD8vvBnK4KxXrUtMhDnVE+qB3H
F9VqV3Hdoaqu+dSOByhJLj0l4uQuJ0DCp7s6xzd2LPAgxb4ynRSt2hfCBydt1bQkqvQbpq2aI2KZ
LQz+NcZwYLry7IdDsYYFvu1tDeBJ05J1KHdt03gYBA9ahANpUQ30OBCRXog4vIgRfhgMtLZ2MNWH
wqusWTjo9xqUwV1feVdunTyqIc1o+bgT9IipCJz4Kq46/dEJmnNWGFeiH8KDq2cLRxRbv1BvoCgA
YTdVpi/t2mdGoKbxofQJ2LANcAZm+g13HtIZXNi+7tzEDdpLsIxxZ3HORLNfa83DKMpr+AgQbwr7
IhL+RWpHq8Q2xn02RHdl4j4ag35Nimy+N/UoW7a+la+0xnicUndLUIcyj9QwW2cdL6wwaclFCOYd
ifEmSnD+1lnB7ugbqaqfBxFplBFVpVBoJ6OhRYz8LWWpCVI+/nmou3TIEwTFHu/qdELfF1BaqKqD
pmUhartilmXHGiaXa5zflJW/EBG+b3OiIGEgy0gWGSXjPXz5sop7I+mLPdJdlboOT+q4VTJ0B3SY
jJumv/n9ZahE32oVv1/GxihqyKat+tptfXMZj04wVYDKwV371ue3iv7dSvyXceS/eH0bOyq8KJVi
E4LB+49Ru6OV51aanLKeG23jeE//+P2TIaXxDfFFMSn+4Hel0+pNulmmJ4e6w7w03b/JiH8/fP7X
z/Dm+/nw/gntZILDUnqC/ohiKxYrFAsGA88XeDq//yi/uJSkL6jIh0wa6a68I978FInDdKuf8vik
RhsQmJinCjk+JgpiDsH199eSb/uNzUv+7O9+FnoXb6+lijDtbGxHp0KfQ1kl2JJHizV17Fa/v9Cv
PtTb3//Dh8rsyM1b5/uFdBigBNEFK/YRuRUXf3OvyTf98UNB11AZNAAng5rx/kPpgKNyNt7sVOsr
D2nEsDS9L7//OL+6nd9c4uPtNtU4tHy8qKfMeYq8R0P5b9zOSCZwCLqot3CZv/8IhPSYjaFo2Sli
BdShPI3/jcWLPG7Vkn5zTSfP7v0VMiXjfG+J/DTZT7190UKWUpu/Wbt+9aNzE2P2xa0o50jvrwGF
uchGZ0IkwMFvnDuky5tX8C/yYjHpf3Mn/+JazIM0TRO2Ywv6T++vFXgOTbbIzE6BrKkZys6DcWmX
s5wz1vXrj/+fkaHBTfDXLc9/MQOrdvpz01P+5c+mJ4NDNGUmaiB2R0f+6j+bnrheQX3yU/ykJvwY
HNqfGPHJdZa7BdG/VP/86HuCDEREz4yPeG+2kH8m+9fkTPPN8sArcZ9QCVsW9yQzxNdE4Tfrq0t8
ruU7DrXMgIxEyHKn0sgYS4bsPqx0Z6nJoqjWiP1KYpsZktlsS1OAHlDR0adpv+PAqZPfA++gUduN
zyCf+ZmJRAahfJ610UrGPkR29Nx7FfmQsmzrMkbniSzlbFnUKcXoXgZlemvKoq/s9REGDAVsjAHd
b0hGDe+pWW5AzWUnW3jKPIdBMmtDDunqIMJdmgT3HmOdZey6VxDnBoLZtRehVIRrawCfMshP2DL2
UTGMK3XIlko9XAPjOw0SFpUoJbZVjm9GuTYlTqqDK5Xa1Tmoqa8xqB5riZ7yG30dcy6Ye1CpRomn
In6oW9oSWaXDrvLD8kwU1yoYgFq5HAfrqgq3HbwrIZCH9EN/gVJhoTkTjdVXPtbAEVsSs4a4DSAm
y+i66dp7pWpJvpYtSVtJOBERA3zLLcKdK2lcnPKWE3iuSHK6whJiF9itdS8ZXqWkeSmS68X2HM7a
SV+1IL9QFDGKAQKGF6mYNWDBIrASef1VAxZm83KtpIeFkiMWiPopwDJHBh2MMQPYWCSpY7rkj7Fs
zlCg0teSbDKy6qXu6xptT35ZpuJYSo6ZWkI0CyXbjIG5tp407caQ3LO4A/wOCI0V0N3B+9vEkpFm
AUsjPKSbO1ApqTv3dd5c9mDVmoRgDzBrueStAay+dw0IbJlksXmSyuaCZ5tC+ziW44MGtg0M3mdD
ctxSvbsG2Id6HsQbVx6WA9C3zob+hktdn5VivMSPCMQARJwrWXGdXj3ThGdkXQltCyHc+hwoqb0s
bQSnyzGrS3BxK1M6RKqoKy78TrF3hfSPDK9WEvvVVqIXpUIejfMVcX1PTKxO9WOvqmLYSIHnaBK8
rXvVo2vQqDPGjFZgwSVI+inaGF4tmPXW5Ct2kPEpaTDd6kUuZoY29jjn7LNTWnRDx5ckKLHFxeZ1
4jEwtWD0T2l3odG4FjjolrGFci+rg6/RVLjbJre/DpL6T8XJWabjQJOL+qopc77i6uhhw1jYVV/s
chtwI7ZwyArGEgSCwR3utOjcUJTlAxIwwlHGVSS8b0nhXSZ0AhZG2qinLmjzudUSTuVNyb7UMnU5
qVa5IQtgodCet71s10caAl1Pe4yQD6Goa5pDYCjqUccA/qKqXnyTq8ixEDIi2BFJQD7Lf3an7wM5
Dq9/vTtdvHRPf6Zho27nr37uTOonXolTD5IV3QK+9mZnAtrjqCpONQMmtv02XoW4OOJWHHA6mtTr
C7a6HzsTcS2Y0SRjx4Hk9s8Gcrr+/jDOxgRwG7qby5GfqSDv4v0RhlzwQjfJUDqF2aU+2qgNPDrD
Q+PeDhOhxuoIoMrVsoMzJddEIj6PRaLMbWUSsz4gqAhYP4N03PN17J7Q/+f0Aq1nN4iPSeveTVN5
i9PlW9v6q1KxiJxz7cekQHfm1JaE5k5rVUsPec8kGU25O4snOjEqvviEUoWBVXxnAdJZ6VRx0rnK
qArLTK6ZD3Fi3/nj9Kx4DkOo2N30ZXsbh80lyWIXIT2RNSqjc0rCXZ4P/oXXNTtCOxGoK/VeOLT0
hgxm/JDzmSei41iyHCxGTrCiMPbAMWSrLFDuffpSrXI/asklFdJqMgKqCNv2liBSBObjdsFsflU6
ibPQWdvxIHzN3fBUx8IigLIcz5OSgnTx9LkoatS6qFnNSAe0CH965mcKpgbFfEynmGCI3rOXQ6gm
O2Ig3UXZixpBoLce7DxaOL0cw6H+dUcirnrm/rpoz9ZY5LTPzLuqZEg090N0C/ivpf+uNXNSbAZs
vtOt6Hu6EJ0DW3tB404NCKJruopBoR9ZYLP9xFh4OQOysgsPtKKXcT2u1WTYTH1nLduatPDI97Ec
Ya+2X8Uhprg1bPaT1DZeCoQiiVq7CBunz7DFgpkFToMstPa2ITgrTF4qz9whl8hnplFvx7bdDxVJ
LlaUbXJNVZYoCcwZAdtHV2r+Y+Y+4IvuR8PapQVbZWqOTyXYuFsjra/91LgWAvBf0W9bbVgT5+Vt
QhP9pxJ6G9ZkpIelvh9bVJCuUtjbUSHPdkqdO6Wr4BeUyqp3tbUadshVYAE5Xr+dXAIL1RzxoeFn
C7eDLdyVxToMA3um2lCjNG+lt0gmFTBqVdXeTTStE1P7Bj0df0pEU85hSuzFt8BfH0l+uxyCOJwP
jbOJs+mhrmBCw9vbMGuy50ThLLOh2aWQUhkGTA9dQ76eKJ8acu/Q7O7dKFyIsHi0QtyGns4UKSag
a5ZUyU1rVLeclTo2M7Spqh3vY1JWiklw2LAfS6hMM/wex4pDxxSAENBJ8xiVYQ2Gbp627WfT8a9J
tF3ZIjvhjz0NheryiE3agSQI8lOsDGQA+5zur+LsawyCqaX5tax7b52HvczMMQDHkYoYWiZQIlTf
LmmDXLt+mNoa/qilPaUe4RKmGjdzFYS9SHxthmb7BlcFAps8saE32TdZ5u+dUn2cnOCYuMOVrilr
ocaEhpTuVy9VN9houI3scsvIgRvQu0miaVh6kfZiRgZRwJ244TZ+4GyDTtzLL5rQuqpdHT3yWC3R
1F/mHtORtBZyj9VsojUyc5ZYAKUdjh8ceofkcozd6zhmWaFrW269jkj7dBT9KrPc58FrnuKkvPRE
Rba8bXqLule9eTqW7rKKzH3h1MblpDtrZcwDJMRdGZ2LTHzxRg5x+JZupzw/gOV+FjTUcauMGyx/
yhJgxEWArwhXYVCvxoRpB7ErL3lhT8vWDmIC34qE0Uvpwol2+QZcG8aSmcCNMcA5CHvfaGIXtmIb
BM11xVAGITn+qQlad6vs85RPGXJ0LRpUseakGIvR9xdRkLYMK43vDaP/1KM6XaK/3vGpR//XqnrK
voT1l19oWeUf/9z4QdUDsSfswgQcYEtK/M+SVJemcrZwakI8dzJd9o+S1NVclJ/Q1n/81Y+N3/6E
7FRWkuLf40SX2CYQ+/JFpU/mXRPOTFTVibxqOk3Nfel4VDH/Mj79ZfdVvsKbjhg6XoPXQNmAcUZS
pWQ7603JS9yxVQyFLk71oMwqdWUmqK/Nr123efMDXH5/xbeO9w9tsT9d50M7MVdEgdTOJAqXLUlU
OFS+/v4CUkz120/y4YzkE2WqtZjETtpgzzrj1ibJkjaiq5zctmPorc7r7rFA5BteNrlHWvgLXkHf
v9TyqyY7+z0LdLm3TH/peBn1L9ieM8yOxYBa9vfvVB4Lf/tOubHefuc6wJmGMz/fhb7ERQgK5b7t
8HcI49RLoD0cwXD8ZiuEBfM/HSuc//4NSCbwn96AAA1sqfz8OD0/tMQzxxdNp9rjiYI1RPHsVskh
phdI4GXB2H/uvkZ5EAWyq6DZmm1/LZLewshHlFAngz8qGQGiFa3KhNVXdz3Z39U6SR+0VN/1nlpj
tVcicTvoabTWYzdyCDdtZlkUoXfAtoFNhIn1SjTjgq11HUwn0LnL1EcPROnYWtOa8dVlql0ymVl5
TPE5TwKyr33nSJggiVTWoqNPrJEiBAuN8w75lVGxiM2bvCCO1YJ8NEGZCkcxb1FD2Gq67IvNWD7U
ERW7wjmyz/aiMa7AGUZDuu5oC9+mZjIrALAuc/emMaS93JxFMgHTDH2Dhn5JoJpDQGceJ48N7fY0
nYhYN716EWPu//0v9Nol/uOxlAd+Fvs/Hnzjw+PSh24dNUM9ndS1vvG206G519foDk71TByaTTmv
lmTvzceVPt9VOyCGi+FR2ZIhsFbX1pHguuPv39D7AkQCK94vEx96qEaStHYqb9k83uaEWvQLVMkc
qtXvJepfLke/ujPfLkcfFjzscFMSBFxHgZZ4M3wt/XnYzimrsdn+/hMJeZP/8RV//0hvH4KPLWj+
40p3Q+0UYPonZmHRDuRWzHrSE0iFOHGW+v0Ff7UCCow6cviA+dv98JOmVkoHItG1Uw9eLpueO+Xy
9xf41QL49gIfvjs1kyZjX9NOcJdajsu9Mq+H+G8+xd9d5MMq6w4uXHqIpCe320/lrrFuANv9/nP8
akt6+zk+LI8je3VVpaZ2ooE7H3BjqRZJHyDihu+f5d99OjqGX6q8zr81/1u+8pe8GCsiQ5v/+/6f
9fd/+y/54ql5eveP5au19qp9qcbrlxqD5w9xrvwv/3//z38ZdG/G4uX//NfTV9q7i7BuqvBLo/25
6S54Pv/6eLSHVfDrv/lxKgJFYAns3YAA6K0jK35zKlI/MUkVBohjkmNfXb0/TkWokF2oPq5QHQk+
lmepH6ciA4EyeuI/0sH+kUBZrjZ/PLqsjq7lAMZ04RdD/QES9H4DtUXh42yYmgt86jURdCHPrRNo
ycIuDXdtd84TxN1+VcpUZkE6jqHs0tppR3dhS4d6+GpWD16N6wY5hukcQScY1uLV3F4YVdVfZlje
Cz0Ob5Sq19xZQGLFKqonuCZJgEs+QfMxZqO/RhytiaVPoLdHjZgn4UIzpmDVlHXtL0qT+GeiSJU0
0kHK2En9mAZWNBSwDyYUhQu9teqwXmnMG8SO+cGUn/0JGuU6LCmkSBX0CTzXfRX9UEZx3xHOUuV9
hCYIOE8v05phbYllD1BhrcYWmYs0IsUmZqY+LfUagTNhZC5lWdLqVnksbE+ZlplRKDVIxck6tiPV
OOKw3DqHliWBsHaBHigbyU8pgrg5x3pSuUsaIclpgGagrUubf49+nT9MveFCICv9OKoY2eb2tkxw
eS1f78x/9zO6fskvntKX+v0z+T/5EVVZ1v76EV1VL/WvUCLyr34+pM4npCWMy8C72hzdWYp/li64
8mk+IqngiPedlPXjIbUZwQFSguEBEVZ7rWp+PKTmJ2nWJ9EL5pUmGSX/6CGV/v4PTyleBNdCqYAI
hkH1h2F7nCbCJTXZvvCGeuc3ZZcdmx4G6jxKu6IAYE0m8drpUXQjefaHO1RRiPRyNyuCfRMFj4Ne
n9OgHBdBjR6xb4hK6v1FPEEnFmqm0cFPrFnuRs865mYcZGa4pHFYIlc2L3BRkDGbKI85sPEsje/7
Fn7nVWMXwZmwd6xzRIvapLQmCuIwNVQuYi9z0IF3pFWmiv84Up9fEqgZWpdBMtqXZubUjCt6tCRQ
LRIk3yZNkOzGshWkBGA5+2U9CK8BUFEH4V1LI4zs0Li/jzVsCAsSkjdhEEXjBjLksY+MXd+a1yZQ
j4VH7Kc6yc5RyIwwKL4QPJzOSD58ThuSDCHnLQ2hPwdZNM0QL11YrYbPf7jDZwCLs1cOSqcslNSg
aJFeeKMoxAIKH3PKjLRaYQT3WK+deWrFuJPNc+wQvUoy/GJUwq8UuTdpa7yoBni+OuVLMZ3mytal
FQov+oaWrzLT/CL+POo+yII+3KiT2y/KMihnaeLc8MhrqzyjLZSB4wUxpG1onsyyrqsWaR9u9UAn
4o9ImVkGymRW00BiiIrcF2YL6E5NIiTT+aQzms8MbQMWHs2wQxavOw7aduyETEJSv6o5I7MWfigE
FQ/3Yb1OM/fJD/I97Zd9rbvVPHQUsKOTe7a9BMIkvZvBU76a7rRK1GFbeEyrKnrbnVctimqyNmkm
oxy84luTI/Sjk4dxS0m/9IGLp23MHrilm5nmdvbGMpp4xe11hdEd3bNDK8uMlJkxMQBymyvU52hv
A3HtFQgmyfQJyFOrzHlkdjgPSAIi3uihjTTEDX6za/gFm7pdUUCF68FkSGWpJQ3ijFTiDiZ+ad6L
urmAyn8DeTKeQ4W6S/3gGj5uuCjUdi18S9lGFmPmLqiuR9u7UXsCj8uWR4Se5IL2mA8TPEQrWHmX
rTdtxsRTtvqgfKlKJVgwYorXo0ljcBIu0M2W6BHfrNdQhgC6GeO0o9V1ikARr3LHlM6cTJ+nHbgu
XKYHPIBfyaKkv+UklADhEVcZhZZq70lvlO38hFKM1C/BA7AAkvVUqUW/Gt3m5FbGQ6eQKc6j3s2i
MbXQ4evfcByCuS1y0JrY7Vp7M8nS0rYHLCEZGJwm7m61fso2isHd6fl4VOskfElGbUJoaD+YvXnW
BL9wl9PPTSptyyxHR+/uHIKOCtoySF9SU8NY9WV0Cn1rYSnxdZp0F9DlFcYjUDB7kuLD1IUxn5Ur
KwH9RutaR4E5jLMys256AbJZrdRvnmYQqpt8QTmwZTKP9NFvJN9VezFq5e6V+pum6V3aN9pSc9sz
8cBiHVrpYz4aewSyI31hZwxoutrYXK70yClsTnkqGNmgfGYGs2Bqgr5YsQuGA+XRkgndE1HdRKQ8
V7r2WKJr2rgyzbsg1nuS+d4OhHzkoZbFR8VjQkopHU7ywFW7OUMFxuBQqMlmVEFLtzI/PCVIvLCM
M1A/kj4DhNeQeyjnIPUsUCtm8yxULzowEsvY1F+6iUNTZlrHKCK3nJQvG/I0WeadTDV3W5qgKd3N
WW/0XxT6wHMhU9BVhNoXoUxG7+pyYNatBQud2PQ+Iz99BOO8FIxrY5mtTkIxHQTS1kOI/iDzg+JI
UsB2JJI9ldnsKSaJpSYnt4PO3VpU0RfLzmyyulA9m8S7+4Yuc95JfM+Jfo//H3vn0Ry5sUbZ/zJ7
dCQ8sJhN+SpWFX3TbBAkm4R3CY9fPycptdo8vTehvTZShFokq1mozM/cew9JI6sI2drGQ1y04Dyc
twWoeOlhYZDaNlRjcsWSRxLgIIYnY25iarzwMUVviMwla9iegmsHHuSGPfm+BlGfuDHxKIpa35A8
vhoQjhARDtM+6rpvaS2STVS15sGoTKXnJYciHcNiFxXk6s1DznszTACeCYJZaFRXJH6TgWC3/d7M
A+DmujcD0+kvwsw/BP58ocUzMAG9kpsAi53Mg1UYsfTWXOdI7hQZCx2xK10/XVVddFcY88SFqMOJ
NyUaBwjjpDK3b04NdymH+7sdvRbnug4YyTPQoLJVvmpj4wpJpFilZdxvq2q+MNvgGGTmKq3nqx5Y
z9pMaqEsu8iEXXnGdv3mkZSTNQHybZfNm+NoCN9x2pamN63B15BoPtfZQojhq96lL2WqsRuPb5E1
I1hBaobulmWbtKr3bHY/QjLDiaG2mpWMLb5lbBSrIRNPVUwmZN/F58DHDkiIQL8aajyBZZBeFB4r
h2RMwq91lK0IfnhyDNwgBh9dN8s/ZN4+2Sayg6g9Vz2PstXmb4Ft+GvdZ8fm59nXrsR+UMZApw1N
u54F2E4ti08YSLDKlelFJqlELO5UW+s5wHT9ffQa/D/B0QumnHXUdMgCrPx1qqnV40M+sZ0rDEUS
yXP0EBj8AokDRr+wSTvUAFsPI5ljDkOqotZ2QZO8eyCwG8XCbgiNbir+dACTjaXuOIcXOVnvEoJ2
1aQqt+81ajh8e7hZiXT3XUw8i60Q3A0s7rnBd6Tg3LHCdCdVczEqcDfaArkxYHnD/GYCZ7u3cRLy
P3OA9/jCY5mho1A4cOKa4i2V2zMV2D4e4SIrdLgJQ3xWMPGOpAEHunjgDw+6yTdX2PEhQLutQORm
3r5ZxB+FaBoAidZn4eaErBRfSfMFYk6fgmgenJVnnsc0vpcKeF4p9LlW1VdV7B/BIxOX7dQ3Hb0V
oEJbxxqebzuFUO+VHUEfUFMRx0bGCKD1WCHXi1lFxMnpNu9rleMJmD2i7lx4sNo1BW0vLLl3obgP
0NwjhXUPB+9y0pNtOW8bP0VqtJVTsdIJqocIHyk0vGYBiRfQ4slMZOeMm4hl4asJT94ZwlfGrkdL
gea1gGVsU9UvZPyTcm0Mic1F3MsLPj7Yh2jm8GR91SuXTS7LyobJHO74bGeU2b5v01XgmdV14Sim
DiMah1QYRrLaQ9SXpQAyUjTyAJhmQJATD73XYw/ttel64t0phB1rKysgpTOc3SFeeX7KglzwKlKN
T5smtzPesYUstY2GnGlVpNqwia1yZeVptwr68jHwdBo+r69BuYT6mlSMe1MWt4PljJvGtD7qRD5Y
MUxr1mr8TXFPokHYR671AtP6alT+ykg5LSPluaTuapZpig/TVo5M9mpkOCuXJnATZffDudkb6r2j
Nu/8iRSN6FhL3Vpk2D3H1j332D99bKBonH3EOcmLTmZ441tHkNxUN2X1yt0yscNkoYqptFHu0rYT
72TmF9tZOU8nMistrKhsRAF0RzM9MQp76pqBCWHxTQ75zlROVlt5WmvMrVad3RhpzxQG5RVm32HH
uXv0McS6uAWXhfLIdj2faOWaReOGf1Y5aRs0O1J5a2dMtpVy2/p6+pzW2OKiy7SC/GaDahih1EmG
3b7Xn8mZqLExtJe5Dc5e2XoRry0HfL5lKM42YjhSAM6Wcem0+UKb6xVOhPDQYxJOMUK3mIZbt73H
ZkmcKnZiT25HzMVjiBoKs/GE6Tiu8JAoF7KJHXlWvuQEgzIv8D6KNWflUguuI+Vi5lR4tpSvOZ+x
M5ZYnVl2l6vm0/2czwAc8EPXGKOrXryMGKXJJHlJlXO6b1qeBP8pw1IdK2u18lj/29BTUZJ48z8b
+tv2haiM7KVr/nPypr7ye1NP1J7aNmK3+Jyu/bKP1L9Y/BGUlz+SQ+m3vzf1CvGC8IAoAdf4DAD4
MXkjGRsDv+NbJqIYF7nSP2nqsf//3tRD1caqwYCPAQFLAV76z7srzdPMVAL6uuyAmcwnAjzt5EzC
n5pWwXa5cgG3tMs8s882xz2YZe4KemNp5HcE7pSLXM+PtSGfSAY+ZE1xE0OAahUKykyCk2fbJ+6a
dFlAiwpNqi2qkWMkhoc5Kd79uCFIpje4F1OnpO+aN3pOsnTE+qcL2MwbFsG4WZucWiKuR2RUK2n2
hf7KLor8qSHMNkMI4oTSmGrpYKROG25TXaMHE73v4MCkhHMo54VZLYjb2buxmzPw8g8ODkbrzgxa
dKBBPiTdyv/Mm5IqeipRIVTdZx5V/0c2FSlV7mdeVebbZFe50tYIAPAkSs/C7albmcGk64JwQHLd
EvMJN9Rr5+SgXrLiwSX6Z9lGw9br8adXsfNSBWWwcod6vE68bNgom3YcCJQpTQu0FttiPdPNRT6b
q4BmSQRfNTnvW1e76d18WfTDHpXlCsnMcRxs5vaYW73KUel3N1MTv1RaecF2R1uUbXfqXBLsXA0b
Dsf+Qvr6Td9pe0c3eLn1GdjkBxE5i1wbdjitgLHkuzCoj6FfnHNjPEOLfBVTc+NHXH8JIRF+T/fr
7gI9vHSino1RVt1m1YyJN15lldgOdnMjW29ljgM9rfWQu4QL+N6L7zWHLBmQROTYxxL/o9DLtZWR
SogRcCg9crnnpV42GDSbK+QZT5zVYFu8VaXp68KNznOJ3wd+OCric0GuejMaDzMhSdQXCysvzryf
yyoZNn4UnRPEKYwQLnAJbbq2PYD52VaOeDbsZOPF7aky29ew9Ej94+0PXf/OkvoyzvWt54xHXR2Z
nS/OHU3OVCdnidOcOKFlO2v3dmTus8QPF1nHlDXN9w0JPF7sLfygfkfGu+yL7AHGz30pops20jZB
ZR9Ny9swFDmLhNAYZyLM0Rpfe14EtZW+Sgud+Lz5QPGzlFF7DF24EDF4iTHalw1Kcm+S79I1bnp/
vJHoZ+iZe/uaeGsa0SE6O4F1mqCAXspMJHsAIXTbsVGSrUqFgNR8rC8FXO9B55HqfGufoSDmrgD+
XUEBn6CBC6jgVm6CVwmvR4ULH/HakhzhrkxI4m0y8fiZ0LwrZHE1sHHNDJ5nmZ0GhSH38u4uhUtu
alhXUoUqNxS0XP/ElyuQuRbJUZW9jIki/USS0I2lsOe0gahsRt7xPvGvEtjoDQOGihttx5xaI8IX
4yDklFMLUR3u+NKGGyOACWE6RewdG0ZLu9pc1aS3LwvI7JDxJD6QhmRynFtBejRhuOuw3HOnPlcK
7j7U+VtlgXs3Zo2obgDwiULBx61zbWfevlSQeKlw8YUC/wUKIa8hWSwFwmwjIoIpgTOfx2A5U9ge
uVE+tq6FFtMASq/l87nTzRMF8jdHYes1D8p4hTRoZErIory/oQf92vrOgbirnad12Sabigr1/3Di
+JgQOHAC5FrGsr4qupVRBzQTcVVvkm46luj5F44ZX6Zpfd87HaOWaLwLHZvnXY+JUUY956WXQcav
BqtBiuAruYcyUwDRRn9l2dpwnEszu4hsgCv/3v+f97/Nkuy/D/S/vhdoIPB68W/CHn7k7Kov+375
694XtMdAISxXxxP1c86ujtaY/G+m9iSH/0HM+H75W4ztdYKoLAuH4x+umu8TfZOQIcsgMMhUdAxl
uPm+erz6Y5/G1vK/7uZ/Xf2qrZtrKLcKCA4G+lDgfr36R0Hqs5RFd2ZDtayh7YYNUjYv/6NA/K8/
Bo3V7zUGTh/Ds5hqO8JAkq1eyE+aJB0zTO2gITyLzvbv0whR8pKI1xZeZzrWOEzaorP2TRPMt1DY
CejGI/uQeG74ZDQY5QNCri50NwdNytU7XkWTeWNOZV+unCl0GyziSWM+92PteKj/675Hzw+qq7f6
mMwzLWNBnyEcjtlRGOtyyEgA8bSQ/psotOIxTid/raB3YtUUb3ZmDWdXrcesTlQZCuI0Y3AajOZS
Zd1qGTGgUCqG0rwUDLPTY58ll7JN4VfTYC0j/4oxx7vdVN8KQniDRty5jN0L2hNbc8qtIfhbaFUM
yCfY+PnaHvN9ME31ykypmxqpr7Kp/oi86AbYxFk3qo/O7G8zPUTwYsnkyU1xn/hh2p0YKcpz3djO
IYt9sFSATOfZQIigaeaHlTTYMIKI4Pa2rtZ5T7hczHxnbQxKceOfm4Ljbza8fhXGs7FtC/d+0rXH
jMZoVSYR1qC2RcNJtidm/rAJcnI8UfTosb+OpF9sPSP3byu3dqeV4xXRTRP2GmpKXa79UYyPFog9
fosG0YFN2sGk1uS0SjAA1U4Lf0MjpOSnz96fj/bPajTjVzHG57NsEXCPBsriw8Fj/esjRuxSHYYE
hZybdf4yMIe7nW9BdS9q2EAF9cqC3Lx1vnXXcl0s7IO1Mdcc0Mv/r5pClcs/NtmY2kzCvNCDOLaS
2ND3/vo62A8PXcgO9hwY4WHKonGZhoSoVoNlLDw39dc1uvSNNBzGe/gYT6Erg4POe0RyT04k5XT2
A0E9Z8zPpEr4m8YgTaBtq03gzc9oYpEwkZ2rbqcHai93YUgSad2Gq2scAgNrFIIoG8bpZJJoQwpz
EpBJZaE0nG1/p2JeJ8PYWgwsFoT+q1x2YH95wSCORDATX1cJw3aAf23gIYKhhoGLOA+kUUmz4kN8
HkayLOtQ4dTM8D4cyp1u5qdu9Aij9ipW1jxorl+DZxfJ7f9+i389RD7tgpglACLATMbR8bvcxscX
4VdM5M6kKSdbDgK4uFKQMx1Hawa/Fsm9Icf1Xyf63z1Vv+oS/vNn/vZuamPvyj4NmzNz4yc7kMsR
OB80R3dn5R0QDmqq0CEkyoVHYmcUjmR7T6Q3dNECQ9ixjL1HETfMahrtI0itDWK2E7v5axHMb3ZY
P7NRqwlWq6s/oFn/LtkxhP54B5Xa5s/rV2kF/u//Ob40zfvfKWH4qr+uZJ98e0w3CLeMP9flfy3Z
9S+m+s/fFcI/+nFL/6J7llrO85n+M8Lv+5Xsf4Ht4fAdXTUywBz0T65kHbzHzwcIBxklgWHxT+5J
1Lv+b/1430FaqkpnuJwGs3HXUR8kRCy7zNXCiSedhHNYkWloArHq+5TpvK6JFQKeuN1Xc6xymZ05
PTaTP5AiMxrtvE6HqijJqS1Mx34bQVXlzO9kMK/bUMYM9Ua5Gx099D98QbTZ7dQ0jdy0sQt4JyDi
mljZqhyUZUVTYpPaCY2ZTjIdmFTPSFxBXXThqK9zI5TzmkIo1znZzGrV4gfZdiL1mNT2oWXfZzqU
yg29OtHvesWIl0XsrtL6aTeaU5d8DKY3bsLEY1oWhtDF12Qtil3E+uWA4Sh7jYPC4fIbdPK1q6lf
axm5Jz3uPpZknFYiZyzQ29J+7W3Mh/Ocm9tWTJyWdh1aW3uKPpxBswAkeR/EzFokQnGtuhV/Vmng
pth3MaODRngRhUzgPZ3YlDDOSYJvCXHPpFa8MrRJF4bepizDDSbOUjDO72x4U/oUix2ppvQTAcM3
3ctYBM9leKikll0BV4oWGRzIrVcV76k721szMwkFj3priy+UpCLmC4sUPuzasrvsKhUdQTG0a3nV
wzGv62HtwYhahJ75HjEy3EFX57Ho8YKhskXiUIb4ZhzttaJX2jlzRnqST1sdSfnhDkHAyBPXhpsn
PQm3Mpz4OxGnX5Z5c/BtkawMLUpOvGbSJ0qnPKRDj0wzYWfkkulnu8N0TbwPhD2/zNdNF9nk/+as
laTlLYYOLEkxS16mZz5mBXzOsE5CTDsWLOCBTV/pZsRvVcysu9JMtqg86utwqvXFGA6IE2JJCh7B
MWwNpiklZ93INrPwCZQhGF1Noav1qLsdywPsqsFYpDsdsCh+4ORPIfe/x6ayP/518f3HsXmJsyJ8
/89ORn3VX8em+4Xy3aAxwlqhu/5P2iSaHDobG7qewzyPsOofY0zzi8+oEn0S63nCR+2fBISmGosq
IwbfVgmX/hHEmgnob8emS7gF398XwjcsU/d+r/8cPoCDK4ITI66IYjVLfTQLfnChjbW4KNxG7YfE
1D1bSXSIg+kJyTxx927yZva2TuyTPSAMiUhJXNcmgxRRUZONCfu2JTK58msoGbPxmRINYhjMSwtO
DCzjpAXLFysL4nfWGgHLusLG7seDuyzIBCtwn22iLk5qEscbxgiZtPpNLckRPkyuYsBBum6CzseC
GVeOWkKMSO/4zGpeiHQnzZVYPSCCz8Ci5TElcNRBopkkOmd9SOjXxEc5kuEh6/TLai4vGluc5nm4
1s0ZuYS/C0ztCEVhr4fRfiQXaWk7kpgDXbOX0FwZM0ADOlaWsxWVdpXgqLqpAu+irSKsgiEez5BM
pmPRlHJJ1EC6nhwuI8lpuXLr7nJsm0stHTkCCI+E3Ys3swSSEIVMrzF+oalfxuYkP1KzvQUrfCsc
GNtkRbXFlVYzazatlJTDCkSgEz2yfFu6KBgCmo1Tb2VYu8vow21CcB0VWQhG6TG/YlA7mfmt5tjD
pvJQ77g1BFfUxdui5q9bISDjzkNXMrvOytCL6LJHIrCLq4RJsk3K2aiVN85AhgFQA3QacmH6XbGo
DEZKsXYChLDpHSYqU1dZ942vk45HEpzENbaBRBNzcebUgPgE5sqtqAg7Irp1jbCyRWGw2WkmAnF/
+ij+TQ36a5P+2VAAA8Nd7zOUFWQF/dpQJCIaRIp54GyIqNqY2WC8RJNSekwpjonPn/Xv+WdyHPz3
8+8m7t+RNn37myNQfeFfR6D1RWXbsCthXMNb8kOdqdTVeMaxcXP+QC6ipvsxyxEclhxzutrY/HYC
0rGyd+GxBwxgEYPy2+zmf81yPtufH40nKVsmsyLHw4fgOAaoBNXK/DRjiYyiJ9LXNE6yrOvKPWqZ
NhG471uiycWKNMCUTa1hpiSDBgB/yXhj2zJNukvgXGxfepnILjvl1hnyUdvbdmGeulSbVoPRFBcY
KfPbySyGy260qmMRt+VbG8JUMfIhvbX0QV5YxMwXy3Z03wF7WruSnnOjJ9Km6qjb8jnCueRTYrG5
lzizLD/bpobODCIrqNf4zH1oZjzfGI2DPcSPEO4Uk85K3PP5qDn1ajQSICYiISg4ctOrPO+COwMK
2k33yZQTINsBzGWftLm5imhDiXdRGDodobXBD+xE32GL5SYDWDd90uvQoffXUuoegqFSAe5AqvXi
7DhIpnM7rpN7LVE0vLpPIeMhl8aCNHwS82wFz0u7ztxbCqhHEoixcrHyyWo6eG1Vr3R1D6Ap8O0L
Jv3yJfi8LditE730eYdotbpPprgwzS358cl+ihyi6QmouJn1BpGioa6lkvupTbLoUDmBOZ9ssqP3
Xg0W/GZOPH0zQV+YofbwYA6n3GegrP1x+vx7Itg0d//9RLjrshf5N8eB+qq/jgP3C+YIQdlh2Bgr
1EnxvZH8nO2aPJsUJA6cR+qo7+eB8wUbmOsi4mY89Nkt/mWpwG3BQBejGMkUpk5d9E/OAxItfquI
+MFMnAWvgWfaw9j664HAGk/URV4y3YVkxRqieyYOmJlO2tIp9NlqktmDrYOhmsrgFEsCsW19aJay
6K/yptwjC9MwjhpoT/sanlp8EXXJCZHCgBwkvgUo8a0XoMe1sncVUS0nlNwg0rrGnS+ccJk3KnVJ
PAyz80yV8ejXlCpe5FvktEGe9zV0vJamwe+IMP5JWGwhsl0u6q+2VzxXU3nfR1j/y7ap8Lg7pC20
+4LYptbXHoJiuuDjcgmn9dSn0bEt4+emZHBN0MWVNO23DBTiOucvRpxP7GwNg7RsvXzKJzFBUCRr
tWzVyDsbdp4/3E9GJdecZhvLAuZqJMRigJIgNlfzvpEkjO0+c45Nm92RfZsuvdBe26l3g9bwW934
V7GNqtSoiZ4Xin0VDMPZq/pHhNFvQVs+BTX+rbJ4wxwIwjWV4borKDUbNFZh5aMhbxbkWT9nRtuv
q8yrVoOTZtSV5dug+ydO4HaFMG2gRDHn1WQha2QhL5dsnI+k1BLxEByLkPDdGIXhBNJYyOEQ+v4u
NOybae4/Yit5x+l3Z8bhljPkMQ/RIwqXF8mb5AtpL4aBhHNDQLAzGKFfO31zQjP9wZ6zXLE735aE
Diw7icktF8aDFdo3Vktyuhend1ZofHSG0+8nalwEal23sczuMdeIz0b5jvjSYQPbxRA12mTrONkT
5Oh0g9GUYB8buS2hW0tihu2FsDT65XQj8KssSBXb1m1UqsjdftFVvGt5awxLgxz/T1V9PXsbQHGw
m5vqIg7y+jDnKeICFnpImeYbN6NXLdj+1hb58HPg8Z0gqoiW9FsCg8CUdTxx9LXa0pt5iKeG9zA3
qnA9yPkWkw4/tfA2YdBvAtHdzp55QE9uLlwjA5cMqm4VZqRN9V361pbjo8eFuHCd6lXoqH2KMljK
AVjZIOIddwaJXlq0E+SOrDQXNLEQ5daZxFYXXHWN0Pwd6gCyenvvHYzg0RtLwiYasnCl3+6dkFhh
A13wOsxJValt8NCMjnkasRSwx246nyWiRIxpzdV8lY+OcWEh31+N+DfCffZpVkjT4QERvuzX8tPM
wK8BY4PRquhlJ7bNjfNpfXA/bRBWW2GJwEGMPQIGq3ulfZompjqOrsx6DJ/iDq1jxiO0sCIrOFek
8Satw2ofPbdguRm5fngb1UKje7DHa5FphyCsY3M9ur1pLxCaz6vRc5p639GwQcOOx5Zgd3TY+aqZ
CG0ZsmsCRMd6C0jHeEwHskpPWVF1nDNZRKKY476JsCOyP3Ummc8oGUt/XjNfteHWxYYb3olPa5ZB
wHGwwunFJr8WuRM8p3YcWSdh4AgBjTZ21b+7UP2PXej/nLs+da8v/zk+UKPN75eloROfxDYTaxOl
8O9xTMzzKZtp4ZXL8MfU1fTZnoIj47r8Szv1feoKfExhx0CkfBqb/lnxbIrfL0t+huly53I145HU
1Zj55+o5a2UrxnIUl22CxtIv7K2TmtqFoXXA+lBvX8OUKHddYfloYINmUxJtt2zR/csSmOZQjKxS
SAo6SkkSGMwg1JODs+2H7jbzxuqUQguJGxUUUqwaB4krdTO6xk7xJ4a9H3jgKJEvQwLfErwCsMuf
8qU7WPdDIXdWHBV3bLcI3q6qN/C6F2VX3SPDrJbINlhxhvVbNlFYlw2eoXoYduh7gYDOKiUF8/JW
TyzrSjOdi8AZ/HX7GaoyaAE5ZgStZCSuTCSvMMR9C3K0slDHmL+qeBaP3NBFXWo3gEIzkByEuOQq
ziUzuTWCyXVXQexYS6KuMZAH0xXhgJJDy/zWkAwT2ciLVFQMco7H2DDv2tKvVhppMlVqEyszh/eS
Uy2Gi9Q5zGjBpe0CkmgoLIpFEkV4HsfrQiQnIquecrJrktm/0xNWXraKtZGGuGN6Yyxm3oQWwf4y
UyE4Rmu/TCoWBx/po6eCcpoqZtfFxTFY4spTYTpREF/HvtK75gN5dtMk4L4U1YeQsNAcJSWKL/qp
DPdm0tx0js9ExkaiO8sc+4+TLRJsaODDMKfO6YhUVevQifoG6YQ+U56U4EAJ26FovEvfqKYtNBX6
DifZAxDwT2Ej3426x6Ewu+G11qXYdmL7zWeafK4n4yMj6gdhvVOKVZQY/jljurMsCgWVSQFTtnae
bgoOw0OYlpdRLjn8M+9y0ErccdB0AV6VH3mKLKUhDL2TxhkRLsB6xDEAHtjv6V1ZEM2qbRMAjste
756dKvoKKKFbys5fwqEp2AtH/N4gccO5SpQCev7qsigg8+c1J8MPnYt1sArtWveqD4vo1S4iuL8e
PSiRjlyKVpKOk9X7yskPY2uvrdBEuJ1eUhmMSz/zUYSVyYMYgns7B9Pbpj4Brpp7L9vQ5mUbx6Bi
j615HelIteJLCnGTT+1BQHio0+QmjsM1jr2nQchX25clnABSu6amP3sSlbR0WP+WojjZHr9cG6sw
U3Jr6wgWqYiYAfGG7pEoxzd2rPj42umhMo2OzrDaVA03X9mi5Z3Gfp/iqUDQJaDcDq8Rv+u1Y1bB
snDIwy+N6tEsqpMPK9DxgPpEZsPSNnhrxbBxJUWwlg31km1CCb+H8K0prZeTn6GEnOxv7WCfhtoY
mZgnxzqQBoCOPF2mrGaTqHn2kvoC7OC9ns5fda255vUxs7MYWg3+CfwthF6jW4VzP6wQMZ+8mlqj
m8UNYUzPU+tXl6EVZUvI4eMBX7G2L/NBrgpixvq0vrU67T2q0hvPKWzU/uihSHTHXhS4fJdZRvaO
fLG1DGpS1kwt2+e5cZ0IXBEeAwhqtWZeaKVLQljJQzyBuIBTi72sBPyHZzpbBVFGBFqItpFhMnn7
4s2b9T8Tjf9tS+3/Oai6kzGV5PQ3V+1PYyrD+EIvIXSL9aGBr57m83tfaphfmA39KTamH/yzKWW7
ie/fdwEqMzky4YD+UBuzLVXdKuN7nwgkbu9/0pS6gtf1kzyC7SbKApCgSOb4Fy9FjfF/mlKBzhmd
um7yq0KvLOvUGB35OFMXi9yGJKiM+ePY994ic6u3us+f53KOtvi4bi2q0IXpvk79EK2rLtxJPs51
FReL1rMzugL3LFq9Voo9ogorADMUhf3KBgBIu+F0i6gKz5oWpMu+j1pkEeVlM7XfNCetFrY/fMNC
X66jEnE+pIQFzqKL0UKGTM70SdlcpCjtVUkpSZSY069aQkEX7iS/ce5yF3VScXw29CBE+Bneqzbq
m2ho9YU7hjvXbc/0jZgq0giGZD08DZ52n7VTtkxS/da028cQUO7W9zSuaiZ7l2E8IY7VfXSodirX
+hS+uO5cbkmhw27oy2uK3MsSIwRKaeNW6K5ykcXXoyEOubDfcUptTTm8NFZ8QcpqupTYWEfPuKCf
4P/2d7mQj50Z78sRkFCRho9l4zwq2/UA88Ey3xrff5NGcynn+MEux7fU8gA+QlpfkUB0BeeRRD57
2OW4FKj8CXaZNZImpzS+bWLzzEDuPJt1oEgO5HMbrCjt2sv3iY4QwtYx6Q6CcsQeiFUl1WEBWt1d
skC+SCIn3CZa52zqMDtFdYdpohnvnUY7GNjGIJG1B6+Egin8/LKawCFyqBKhUxXGdmqVvjopMaB1
EXynzNumbiSh/7DQcfqAXPjOENjl+FMXWqUMh6+B5wJ76q4c0V2KEmadpvn1VkJnHw1DdYzp3rBD
DrMWA641zGxfhNznmi2X0tCAndhmsBzK/kK44hzxVvB/ytdEkzdOb18NodiHiQvszEi2VkIcEdxk
Xx/hic/OfUu7LPLwK7vfdzRz2jKdkczbnWMt+tpHVtvNj/gcq1VoVIfArR60rmtWWTPca37LnZ+T
Oj2T7bw2+/R20oxpbRqYoXWd278BWhCX1cma/MvUYi7RYr1eeOVw7BDNr0cazEt3yEM+K9IjAjmG
rqaiPFsu3NSEEd4GVbIiujjAoNXgwU6Thy5duVl8b7bMZD0/dtd81gCL93R9uFy2RdOiqhpktRt1
EOymIjpVw4kiYV7lSWyuZhx6ZFNFZA7XCLuN/Bwrpx1BiSgBTRNhTTgTHF2+oAdk62yKWwue1vSR
CnWVhvKmdJu1OY1A3iJ37VnlV/QYH0IXBFa41oecxZPf+EcxZOdqmm4NkuEWMKuitTORMjPl9U3U
NS8ZEFZCpPZeOR8syDlLqY+UTJBEKHKspfSmD6ORz6HWXQxle51V2gnCIJTWAsZwOp5Mv4fDy9Rr
YReDsUhU9db5UY+nv/2oNFyD2TiodHH3Ja7lM5NAAflaQzJQ0iBAqXJwPwEPb2zNA7JjPXLq1uz0
iF7qM+etRYOC9hHHKwfyBbiacRs2jFSiuT+0gclNK8MbJxpfkhgAD0xGTJd1A343RPbbWPXOyZ0V
NnRM1tF429o1easkJ2cjZqo6hWJWFLbkQ1fykfCcE4bOZF2OwbnMgDJZXTCSMBveBoF1WVb+rR9Y
O3OcvKVTwPvtpgw/PJ57Ytk2YetljxIeHTO//qjhYcEmrz7YdvLgMpXAbDGkG45VmgMjeh2L0lkw
t9n0Q3HgQL+ZrLLf0ZGPKy6A68pC4hDb9qpnW7KNREwmGVY2EqfLO3JmD1FAkwGQ+dhE/XWMwgqT
KENGKFALt5TYA8KMr+37W9tJvB1c4dcGoN/CR+MCet2ICD2tmUXM2gcxONwXkYy3nq9dF1P56ph8
tuvM9WilPG2ZjSxV8dIWZ4H4Ah9e/cgIJFi23kRE5ESQrElGGQQuoTI5ja1dFWKTxKLdECDx2vnx
Q1nxIGEg2UyoaxY6b/mC6w6EpWkS2jmKcOP7Br9TYGp70xx2PjAbWL0WfK4SRVtn9ffRhIGLO3HZ
Jl7JL6bBKOraIckWE48bIsJVl/DfKL3iY6XNwyq1GMxqZqnUFrBhxTAstNS5t0lik8X0zS7tqySs
3kedb9dYyaPjtKjhpcaj1xVHRLv1GVQj9bJAy+MWO6Hr+xaJEGHeBu5nT5SPdZZk+0blCht88LPC
fNAm6xJh9LehzjZApO657MVF7DQ41j1/38ThJc6hO39OdzBtkMxGsMxwTcAItIZdQIa4SygN7h9r
4KXYPUoT9w3nqrbK0bIs67KaGWd6NzrDvbUNxQzHKNn2VZVjQs+6YC/k9OJoPAxt1BubNPXuxgJx
jhdohzgMX2TirsKUvnJMqm1Zl3y9W12VKW1f6Ytwren2G0RIhIpt/GQJNERJ7VyJzvlasg0PKhXE
G5ofiRhczlgWZoYho7U3FlAKXSwArdOo/NqJxy/RAUnHE6mus/7k0Ib4Vhqv0e9iItY4tZErkwfq
YiFxtOT/sXdey5Ec2Zb9lfmBaAsP91CvqTOBREKLegkDqlChtY6vn+VgiyL70q5x5pX9RCMbVUAi
hJ999l77HdDJOY0hpXckgNf1gH45wBpVXbOfafZjVKMTDdfUIQlJesceuA2zs9JVbTHelkmTbR3f
+xGFBqOnFza7QUhzXebDsCnBDpTpop+qzkuOv4EW8MBe57XxGDXjU+OToChif40D+rpvBWai3uvW
kH/g9qvooXNc7DVZd+xDvEe56T+por8Ns9Ffy7YjR0G8meAI95Mcut0UGtnGSoujwcmJGzIx12wK
P6owv50s3ud8WrxCkkPtmBRF1/HnCCbSqJyfjmk8GlDbN25OgDP1U3b8UBlpZfg+zM2Vz5uc6K79
nR0Y/YR4h4tQnIKCnip/YWKdnPQlzJnE64mxySMJkRg5Qu0HHVnXHAwANSuamkWfnCq7EdAuElbn
cXkM6ob/5qVvoWHD+huTR9F4bP57497NmUkt+jcV+eiJMxewFixuXVUW27qT4Xq2+3CVpzU/jqLg
wRsbqIGlAqdb3nreXK5St87W3Hc/qZCCOzyC5g9TuWPlSCSTWzdqxF0W0i/LtXCWTtxtCztpVn1a
PTgxvyPbFZLj5cRzuinOyCjFrnEg+Xrd9ySHn08266WeWOfmvfm0gOuY5uzRUmCux5ZHqmuyQkWE
8fD4IUK446bM+usKG19hYs8gwUVYpjJLrtrk0+dsHA0OwsxUfC454XMfEwPevSMFV69xQtOFmzxV
AyHhllOem/Loi2quzMgfsYxlMd9k7+5Bovx0Io50bjm9yZwz35BgosiSVyJnxyBAeE2L98BLP5Ku
vyhVn2hHFBtUbHrngDNnsgbg6N5PkdhONkaXoC4fphYPh6IHh4AdIIbbju0mbRTzapbRNgroemmG
62Yqj31cQVkwB+vUJqRy69C10rusWJzXuYwd76Y27IF/YXfVQHDdWfd2ZfxWPfT3DKpLlP58NXqb
vX//bP57BNVf9W+110TtxcT6z75r7Yf49wiqM69K4aUlEYtr4ZfVqE9hjCOVHg7t37pf/r0a9f5B
foa+MvbogkkVi9lfsEow0P5xCiVbC4iDiI1nkc7Rq9tfp9BhHgfVsTO/dBPLH2hAL+Uw37vlAOHJ
Dy+5qJPv+JEKzoryUXZwQAZpBA+0Df4EeLOz8KivFkkRR+hRoFFkNHe6HMjjJvhowlTAOHQblkPF
PTaHEIZOGezHgTRsnhWbqHI/GL4enGF5iahlog2z4+1S8Wgro5zqkOokqzbnTyQ3Jv1it2TWA3/X
hnkSMsBIm4rVz2KVeCxAMCyc0c+elCNouE3DH0nrnRUFgKaaLlHYHkpX5wDpMbUwYOyUJyH1qEE/
osstfVoOG62J6Aq6FMhuLLP1WtY97jel83LE00XEmO13qFxQ/r1tP1dyK9MAdTxDZJM5DrNKPTJY
Ejb0N72U275qzVXd2DGJyvmI9KPWXRExTpnLs+3/yIm+NtZ0btv85A7da2+CxKoSgsBKQvLoZ9Rv
Z8A/z1b1kzD9cRAulmEDj68ZPYeCBwWD8hpBul6pBrtqvBwSy72MsUvgJFyHZfNcGvZH389XbpkC
1lvAx7prMB7HPkjvLFwsdBk69x6fUEDJDmpWsxuz7KZR/r0Tmx/ptOCiNn2I5SY9OL47PuWWekto
m8OIRg50KDDy96Jd+ZN7JRLv0dDnZ2cxn+MhYXVbJCRPg6dqam54u1yFDZnNNss+lRF9mwbjsZL0
+UbTPWHAHZbd195IWFgDp7XtmVGiwsnLyp5uorb+6TLMmD1OaziIZ35N1yPnGgyEm0D9FJW9DSx+
HG3lqVxdS6PihzJKDpyDCUuGLogF1141RflNFg4P6Zao5Dy9qx6mAxc5xK+woM+2K0m9Zj9Iob74
jSQMapXapHvqnflQOt0P2ECAWSL5aLchTUBM/fQR3Apz5NxDIfbG9cGmN8bMfjPqPZ7Vnna5pM9J
x4e0sPckkdLaxHSt+86ptqQ4wBflYAeZGpluwzG8sfryeWrfUI0l99xbzgG1nGvM3+xtqchWbD7n
6G4eG/8YpKw+GQenvRoQj8yeKaOvRbKdtS85NqqflLZ3PonXuoMSHwXJvO14eS9Pw1c9gz2AgfFX
IfvChyKQvOZoB31mTa41l/4BQ8XCckOtpkLR/KArIDzeiW7h7xlpaYeAwLeB9pyd6Nd0dbRKbIFL
vZWDnZDA4nbLIi7pYuycVTSBMQOkR0YFJpfnTw9exQxR0gY9RcsPbVSM69DbxNRZmNRa9GmOh5Ll
7LZwvGiTUn6Rue7NpPCqV/F6Mb2XmI6MyINw09GaQePMkRMiNvSZobO8Rc3YEbXt1gt9G0wiuFRp
4FBREd5kdHKkCirkLMWe2eamTahMoL3DZ/RvJKJHGIwfraOey1K+5iZlWBbNH0kmWQHVy6K7uZ8J
FqGNLXm0ZjV3M+rqEJJtpPejjNEb9h+NKuspZjNed/ZbpatHrNrYNjL9OTM7VIn7XNXschv1Qb4b
klDuXhxaTJy+NInvRHIlaeDAkBYaazMQH+aU3Hu0oPDLg9eRYD3pUveJs+7IHUJ+2h69aMspeONo
7D5OmGWVQOInyWsjKhpXLoz+NrKOpNOGVRx19wkU/x6aP5rZFZaE61Rj/lFGuxU4bFJVQ+6vZJwz
h7keyKEc1kpAV4ABmnRX+nWy65jxVlVFrk5XCzCIwP+jbWAJg3djzq8jWggMXUdAvxD8LAoKZr2K
a9jJMRcWGsWBkMK+bqRfktpvs+LoXjzFnnMVsduLF5pgQsvMmWWag1FYT66m6QUVv43MpWoJwWHj
sS002RqShySg4fSHKuHtUHXskEaFST7jWqMpe6R7wcRSc2pMMVNZwPFziwWl3bVB1/rfrLzt3N+Y
0n+fiCRu9z8/EelyglP5Xvfx/xA90l/6y7EIW44wMWh6f/DQsx+3PQfDISBPF/Wew9S/HGNAQVnB
WyR+qVTFtMFh5V9LcJezFHrQ1x/25Uj9K6ci948Wel1xwIreIcYkdTvSH5zGYNDyaVJzc5kN/Jjc
ur2AJVAUXnJ0+qi4xAoQeQSLwYE9wMnDBovAq20JzXsZqPu06T9JD6JzQS4gm3QFiW838K5jrbU2
IBzQc33tQTxYLK7yAQYCh4lrM2O8kNARsN3uAjZzLdSEcjbuHCgK7ly82MTwPegKHlETrJrUYxbH
FPpCZBghc5o82l70jLMNooB5N6fZTQ95aIDfgNuEqQeig+Mtez0KjnH4ZDO+GfxE26wZP3xYEIEP
Y72R3wA87YeuOxWBs+tgRwyqvglgSfjltPMXdKyoggjBiaysWcFZL66yDxExVn+eEVvKSyKSGzoR
tuS3NjXsisgc3uCb3EZRfw7HeT1oxgWsCwnzorEqyvx+to1vbXMNxYj6ninMe0e/WbFRf4FfdTRa
H0GsvY/CZW/wAsqhbDhVQzwL2SSY4ksIhyNl1BNwOew2PyxwOnKv+yjgdhhecYMH9nqA52Ev/Slv
5kNfo5fB+4ArdWPD/1gC/yhDde9qMIgHIaTTqBCVjedUw0PEXF/RVvAuS3XvQxeJCE0g4LiXHu5I
aOWbJRyOzUITOVySxJ+OAk6Jyik1hFviEBxdoUTy9NTTpoabuHl9jjXuxNHgk2zG+8Ck9u5+QVHq
iWAUmJRwql4sq8INME4fnkaplBqqohm36fa3TFvwxV3BaxxRAtc0yUUtywQzTTmF3A9NEe98AVlr
mNojgEbcazULIbKp92nZVSewXcO6RQxlFaBxDfYCBBGqGMItxUSwzuh7k0tybwkLf7JJV0IXHpKC
/TJSrbflx1rWQPpglRTajkQCett5JoINZo0Dc62NvWN+iBWJbrpkyCFIJ90tPZI9RQbERcL2ycNq
QpsdlQlJZt3F3kxDKtk3m/2Wb1iPBkvk0pMQX9VlseydajAGtCkqH5kskiaf8aLOXtK9GJink3PT
4xvk/4s0Q9seNYYh5Mvyzirz5xFpa1NpnEmA5WVNO1EKEFJ90DpZrEyUQVxmbHlbPC2M1aBrpuSH
b9BtPiheOqzJ6k1qeZ+4FL8Vs/Vk284n33+06kqzXc+zZA1dsV2IcrJ+dgHsjuwZ4hxTQ5U1G4h0
lOjlJy8fn9U0/8TrdUp876TKKIbM2G9Bsj+TPd+SXK9v5mCsd0BJsYL2hnMus+ABajCYND9tAYcM
kg0fShiJ5tcRT/amrSHylfqUO7HbdqOw2CXpdAyMbJ+YfrxGK3rD/6J7OKdLbLofyI8fkxqovJzg
o5IOwX6Ds9MFbBN6eAGt2tp5VUZYWlr7oLReuxpNkEcVk4NNc2LfUmMRv84hPWK+ob7HQZ1vHHjZ
ft99GMhUrYWfewpM4rzBC2zdgXU/p1+rN9cqDdeyNywt8vXs2KvHaOSYbSbzvJ0cfu9TELxK7YoN
qsDl+pI7mIScePyR2xQ+wbosuTWb0UP2kiBWTUq4hiDUhWNYZlETMe3XxzheHL634VR57WXK8TvO
mJG8XB5HQABRNzwXpnnqRm9ZZQaRo5gTO+aK6TqNzIcx7K7sInoUs2uuhoS9IIWQaGlgU53JuAYP
K3Dkp09NhA8hzsGcsqLN+ocIlWfHKiCMcAIHenvVmSyWhuioungHlg/h1fSMvblwCMFlA6ykzcsd
FaZ01813VY5g7Iopu4tLGlO+XsN/n0c0YOPPzyPb7P9syub9x/9QlKS/8F+nEUzqFB0CGIM/5ODI
41zxi0iDFcCkmlcvyn5XlEQNIkcDwkgWasxXaOXfpxHvH1QwYjWnJZEjju42+gvHEaIwfxRpPP4c
pi1OI4JNmdAizi9WgToMJtsQQ3sx2faNpEE4TNQbg0wwiMm2uTUWkq5F7pSvtsL+5dsoAp2LUODl
C/4vYyg4ls+sNBd0VzNQL2mbuliEvXldCUtQKwgFOo+BFdkNyf5O9eW2DvyBG74dr5Nkeeg7Mrly
8qKTU7lPflscwygqdg7wo5VrlyfPNvEhSPfYxdMLcNWIG6d6aMqITbER+wdhht8LNTxO0rwy8v4G
KBSLtBAYhdkkpDdsDlkVvO8MYxNx2GVdLv5VMmdvQWdRxEEGOcJAaA5wzsLaidb96JgrZ7I/nCY1
Dl0HqbKZ7HnHGeXTKZ1P4gXJpo0IybU1xX6TfKUGpzhVPZg2Yp3v1gAnFx/jkW/zu1/kl5THB5KQ
hjQ5JQN4MpOzMwUMtQBEceW8Z4m5C8vsLg8ihn47/3Qy1FoeZ6LMqj2Cxg+3Ge9xrIcHnrrIYIjd
5M0Xyh0hGG57Y7q4POvAKlvPceCdBwmjglQ+zm69jCoqiLRJke4zmGbS6b7leH9XtQTY3PMMWxY1
Xnnm/OyBDvNupxYuRdVN7HAzTzX+dcSsv+ihP2C1vG2TXtGdDNIL48a0z2Og63VMqXqlpQOZWk8i
Bn5YaVnBouluQaF/W0zQwzlP2v6xd7LwptOKxPIlTkRGeqjscjsm5r0oyV5Lzo0sUDh+pWb8DL+m
WgVa75BGl2xkCCa8onprY5ddtzKM8jZMAsi6SCaWAwXG4JAxJs2Pvp8OJuKK6gs+4jnfBMn0Utnx
D1fm14EBWYNiQtL6DVRJ1+jf4c7P60TJN8PKvhkVBmqBsDP7qlyR0jxYZvhQa+2HVOLO0GqQ9sbP
Rbqh+HBToBg5gXsWWkICn/aQL8VPU4tLQ89m0tGCU5WG9mpAgxJoUaR8d2zM7zNIZDNaFeaMbx3a
VaRFrJqRmrXLDR2HTxMq1zwyKdeB9RzmCGBREzwGKGIAw1rSCiGIFS2XpehmBfpZgI6Ga4l3D9Z5
6kqxVbqobZw+7scmuQmJL4CRpfbDHS6jUAB++FlyrJoNyh3r6jVpmpOmhffOeEWxx0c4d8+eVvwK
+2agWJG990GiCFYm/jzKNF/tnnVyEoIgTmOf2lMPWSqsYfT6c8nJbOJ9Q9HIa4MSyWL/nErrGCFS
QpP2+DxoD63leKy0kskFa67Imd3jb/motOrpav1zcbw9zGK5zbQ2SthDH1XQS3GjHxatoCZVnhzZ
O66nVuw8rbTqJy5PKeB3KTJs2eMrtXhj7gBA34Um6TBh1geTj4Bn0p2cwXT3/ndOb1xbrvNkOYrQ
bJ1wmpgFiiss+lI/4poI0G5oPljIxeDqEeu0gtzW5Ym8UXbIB0z1WmUOtd7scL31S/ggTPXhakU6
tLxzOkSUfIeGsUva7F7AaFjRAyLWs+V+WDGHb6FVboV6N2vdO48thQI979K4/9l0S/CQ1LSdxo14
LLRu3gs3/l5Fxo2jNfWy5RkRxy9jNFwaPzrQiv5zmUgKd0VAZ2llrlNiwCyPWptMNA7D/CUPDTc8
LxaZIfxWWpmzr2yvefRnjktN7mqtuvwGac7fYh+Q6ELLK3IU++uh/SB5XK+XvrlVcXYTheJC1e63
qe1/ip6sryyaE2UtW0q+KAfv7LueKHLvUxuBvQcnJ5ABL5uugfEirPUFFlIK0Fbx0j/KyTwAajxl
ZfKcoJquUoZyvpvl1ccc0tbzc26Pd9WY3HI98CFM/VOeipvFjsxVFxIoGswCxv3QryacWIWcb4TT
nhC5rpQ5PRWY3wJl3zphu6l8xCKPf5hU5OK8cfCw2IqXnIOlKk66ZF2YAPA0JRZG3KGoi0OTdGAY
85bHjtPxJNI184IDmSOCbE+i8bgsnnk00vFYJE6ET6pktp8769hwgNz4WdJvQTTTs20SLxnZ5eGL
iXeutSSrv09lCDQsAxBU/vxUdhUXYfvfazP9Rb+cyBS6AS4URB1BXOKXExkUWcAzrMfAKTj6rPQv
echBA+J/ruvxENQ54v/IQzpQSKDCtYT91Wr5lxALLhLU762bvuSQ4BFPRSOineYPAWMRSDJzlWvf
RIshmyeCRRl8wWLOcdRHBtOwl7RWfG69VL5Wv8V3CPKYhiRlpqM9zVfMp/uK/LCSJf6Tlw2Rtt9C
Qbhc5BYC3Gkk4h6tyqxc0ruSnpeKvheef98wVnVrIiQ3s1NgPdPlMIvL4B/W0UfpRizwcVboKT1a
zUSPJtpl2GvjU7ZSQsw0z0QieK183UVjTHQZbmrSFM1zmuH5zHVxzQBShRKbiD/VWZf93BVnZczO
YeYtG6s44PWUjVuzKwB3FUP1QY/wt5BJad05OIREVezaKR7Rc3EJJMYBTb8D5QAzBhbjPuN9sllU
/hSHxnfrXBXzuWQcn6TLx5ORKgyy4FHU3l1emlt/HvbJcic652kc2hfHC7eKQgT/b7n2t7CSxaX5
5zfiufxRfv/vG1F/0S83ou4i84GTcFuT7f3lRmR/TZ2ShNoMLunrdvuPi9pHuwV1qPuZpOYD/FOn
/aJHcefS+OqbnmWyb/4rk9F/e6gZhpjchLD4syyPwNTvBqOyVix/kuiWTa3tHeovEpPtXgSIH1hk
4RemiUtZM5v6ajH9TfsFc5o7/Kk7VF4gT+MX8AlB4QDWSAbvsGwTE/BbkRF6osgBJl2UYG7CNWeE
twoQXB6xg4x01ysV4IhEi40PZZ21fqDBQoWLTWaYcZate+RTb4aZ0dMPlDRxHR3csccokiU2ZtIJ
ctuhDhufd5ge/p16zBoSC1kPHggLuLsNMZzBQvKcjbkAfv60Y7/b//0O+noH6Uv1zy/9xx7fT158
/vfVr7/ul6ufNi1mbl5CsEHNX69+8x8OSXf9TtFLil+D7R5wDAJ8prAcHYbXr6j/rCkc/gXTpw8E
w7dAoP+Fyx+Q4u9eRAzVJtWlRAaFBSGV7s0/uDcED+rcKPP8wsHqJAUVGAPT2UTmdSGutBtsTNRJ
kJ2BeGJClepgUmQUA/KPIF8XWcJS17orBNVOUpzGtnpPe8aTVlcUdOdpEdCv1WGJuHtSGn7WERjS
ds7uBmp8t06ev8P/YBrRNQlBRoJ0YWa9yueMtFRKmNvLu+KllNFVTz/JdSHzWy8i0O3jOlwtrrFu
/PSDtpWdDASBufLCgIGH2U9eRzGwGi6ci4dxF49HCk8ZJfvSO+UPpnOW6FPEZpcynHU8pOJoz951
17lHGeSPOKM/Z7WcmaY+sqB9HGfgqAnek9LpqUDWqabBudile8o6yDp+ZD9Jw9gsZfdtBMnWDgSe
G4HkOPrerfIbIMqsNMb0JhmTHQjuAAPVGK8Tl+SbaIwXn+AZi+BqY9rJddQsPA6q+UqCZj4WWofJ
04UEhOPnOyPxv01k3e2hv1Y9VVtVfWeWcpdjkZxdcXFtf9fL6X4WlGAkUNhkI96liHCSGa+DCl4Q
mnZO3zO1DaN94CDxEc/9UwXTfZMvKN5iSm5mACKrOu3vzCnAU5w6+XOtjs7c0lFMxQrqR+3SD2Wy
YRoDzH828J+5Hx6iOdnyz/EO32q26eriuefbCFh3r9MYg6UakUFiZrTGE3Cg56t64PeQJIhMiUlf
Vjl7ZKCg0cZeeTWOwQ9Vk16nePFRlc69wU5vbXTOtY/pBanWjdZRRWgjbqJ7ww6OdtKpa9QC9N86
eaSk+rtnxjCj8rs8Sn8kRfMc+mjCnAYx9fJDHapA0KMGCo9syxSuXcvaSaU9BG6whvGQ7qq43yy+
Xvmke1MNh9SS2bbopxkvSf8JvKvaKEdXX7nVK+y3rS+q7Dqy+bTrDDN3WLJhLyZMG7JtJpYmrlgt
E/ZGR/jVeZmbp3pJcYH3uKVN7ItlbIhVPOGHyPuih5BXXpnllF0LMoroN6+x414TCLovhjJeu7FP
25tYFprecGcXQQOsfcavWErrW1XUD97AL96mEHAG8W72AX4UQ2ygc7F+8u57KE4joxspxODopoa3
srno6dL2dtPiaSc/sR0rTJEeRmgJSc2ex1jm91Au7ZokAPZpPtFVx0K8o16Pbk1yNS7ztsaFA/HY
s4rIt3N6j1sF0xNCdri8k5577wbnkYKzxzQTFAp7t2wzKWYLWQmOFhsJur+fZ48MTJcBa8QmEM2D
c+LwB7FBcw16m81KYczv/F7nk2rtbVlVirebJYHuqU9ras+ZaZwnDpZblkHF1pyXdwbbw1x1QLoc
3TLjxtTZjC6ongYDtVWPD3RqlQiVtJHBmYXeILHIjwPD/NhzBfLvf1oZSIPZzgKo7GwyvMy4J1Hz
2eZcEsrJY1yj7lPV1DdtFiFCCPWJreHi0jfTJnhUUJvUFlCFtXMEDDNzaa4DYe4xxfDb5hO/qgt+
6BTqFi/84k3lWbkj6YCaEHu0iQ2YbbM5PAT00hxKMb/XTlzufR6NeKN3NdsQCObqvHTRpdUWEzbj
3maO5cOY5CNl7eVt3Zr7pFGP1cKzshQPIqwtBFIPikPpvodhBRMnovNBxYzApoNZq38ynEWsQe3U
2ywhJ9TYXNRpG7yBxHxrOjIgrQoPYWZgmRC9Xr2mK9X1D5VHvVGT8vuVRrnxyE6tR7qQkEuI8zQZ
jwrWd5F/4UG3Z9zIV5ZqH9lYPadW99LULOuytH9R/mIehDUK0htWdAVlYtjEXmRTBacNS2HN+lTI
Y9MmD4Uj90vFEjtIxduYTqSBs2RnYwJb0whkrWTlAGCwngfnbmxPS/A6kuSK5B2JoBURrGcsz0+x
zPnVFN3eKUqMaUwxVSbag5k4n4IH/VZM/i0hA25tonMHw2bN7jpLvM3cGPqTAvfrj9dtldErYB3c
KePxG8/bZRYPtMNdReW8oNr2L27Hksisu1Pd3UAsWnV2rzsTOBPOksqH0o/3Fn60td3ELzTz7rOs
Sa6J/aCvG83Zh3K3G7Ct7GQ3JatFSILJFcojXZs0uIcnW5v5WsxOy0qUIWGYuZfWQU3lJ52Z0Xks
upWq8F7b7ktCjHXfwCWNV129oJ2QFFlHdOAQxKP+MfQ64A90i/H8OgXd4l+EbMqLuRgLVV2dOg44
F+BGet57r+Z5v0yTxfMYAycvj2QHnmaX2+JsVfaRp9HJAYyTeoqkW4e7xmgUFjG34gkxwAJVrXHA
En2jVMsKIjI/5Wx+BnP4wSsnIc0x4W8jyOC5OORNfnS+x1aKcpNO2fcpJt9uh9Ee4oq1ItbD4yF0
XqMpHwBB0Q061niaRFuuLAvX1WCAxnCdq1D3a3x05kmo4D4N3INhjBZ7WyA41RQA68zFOs3MJz5+
3uIi+6ym5DQQzd1VrNub1tknXttubOkWO7A8IE8wH23ijIWcqMfXosOqNmUPNv2lTmY/5T5UgDoh
ybOkx1E5uybObqlaQVXEECG66tEt1XcerredPxZrUuqof059L4xmxwNO7KGV88oW7U0RIYS6hPsL
p7MwceUX12/mVYp0vo3hH26bCaccz/0MMhlVeI0DwXtiEVw5ql3FpfW+tCTFsnHcu5jTVyC3bzjk
vjZNdT25mcvAbcAln7QZDE5AQsjIum/q4Yo790B9DmbUMXqqFjBCSUxpheBVm9KdFnRXQVa+2JV4
HYOUd0ThvrQYU0t8I1hFfKKNBvsZ3w6fwQYVa0EWeolPjWrOhIR21WiRw4k9OAcV72jDeeqr4bxM
YGiL+CNT9qlOycq1cr7Gb9gf5mbG9D8551yAVXRyHoRGtKcPjMSWrQ5paV2P5nLVN1KuQ5sqC2dx
XpIxz29lQPCSxJWxMsbG2gyRWvAWQ30ZlUW0Mi/YZ7VEtiHYH1qsm5vGTD5cdjBrb+pv3aqVe78Z
yj0ox/Y6rxvc8nK8yhLX46EU7FPKRPc+eQjOnF99OHRh0I2DhnpyYupygF8e/a8GneyrTWf5atb5
exz7TRLEQ/Xn49ihzz/K7Ef33+OY4Ov+NY4R2maXakL0Y+bXk9UvYgREQmELG/FR/tNQ9h8xQmnu
qulhHnO9X8cxpc35wkJp5E81tVbxV8ax3w9jLGc5qDDY6ZZ4n1Ssrrf6VYwgzjiyfrLH2948gepM
5vuy/W1Y/9P+CPWH1Dg/Bbto14T77tqW4/Hz/v4v4aEikyRtq1s5+gmmHGW3aUqFu1XI28jkZt/U
CI7p3fKV/YiIiL42oU6EeKbNAIevzToRj123JEfqaOLmJ0UlERB1tKTXGZM5uw3InGSlcZzJoBhk
UTqTF89MOmXRKZW4PQQzWdSI/AoZfbGxSbQY1XgxvPQjm9N3g8RLX1XHhAQM60j8NnF0CenD8azs
6OqgjCAx05CcqXSEJquVu491rMbIeU50JG3IgqUYiZInF1FHtmt+vNfQMY+mzudIUZ1qAjsILvhU
MVWxOvwMdKbHy6sO3gU5n5rAD56Ma27jceMVen/BU4rNkfkxEROSiryQUMXjIEIoUtZToxNFFtGi
VGeMonn8jv/3NOv0UZ1U50LnkfzalRsYtPY6KJsH+ASs7VTZAYiRZ9zj7M1beUdGLFwvhJ2MRO4W
nX6yLXJQntX9THQyyqOQaOUSlioITbk6PVXpHFWmE1WOOZFl1SmrKek5AlcWh3LKbHjvLy+CUJbk
17kqiWnZIyfO3ALDlvuaypO+GTrTZY3V0efFeZN1I+03RnoCVocBXdSEaQmFhd13iSzgExWL8xET
zlTTakkxV6DzZEHtUdJLxKzRWbOO0NlC+KyK2dWNxNF6V333dD7NS+Kfnk6shYrsWt35j6zkfyoE
X5NwW1wzo0FxPEQ69yZAoZQE4QYCcUIn4xpFlbYkLJfFKfZ64nM4ftnnywRLV0u2Thmmzxuov2UP
9TTo/J1BEC+SEel/onnh1OFqdiEAYVjfZqpptkPoQtvVgE8vebDIBrPB4wjnDy+pScthPDs/E0Zv
W6TEVZlUdhJu0QqIQnouckzPIWVGa54rT4C4H3C6V6colZcQu/kmKqORi3X6RpqBq2es+6038nnA
IHhLneDRGUhdD/S3wf10dkNjPqVhRrdjQQDe8LDehR2dv8bPzvDeDKxpdLAQupfE/zfTF6nLXRyK
WDoJ7LuyuPp1tUkdcCin5nvxRf1ohyMefCflKgeZ8pQCjzray5TcEtd9rGvrYCzVJ+LhMU4rnNFl
9UN0NXI7DVZs9GggTseOV2mcvCjVbTInyDhjPhf+dtrPzPzXeUnHp2HcN30C4Yh2mBpCHbnTzQBc
yXAhNzd+Va7bzLZX1OCuQ1ntp1KeGd/AMjXG3nA5bnNvriS20LZ0X7Hkf8YmIW+QrQRTOP7mNDkN
EaKIp96NiUB5F59yu38Le8IUPHPum0Jsk0rclwwFozDu59ndOEb4TI3dW+tBmxDmlT9y0Ha925mz
8NJCmKAUPPDnHxRcEspzk03aduk2D+AH4C5024ZOLZqRm2q4cUn4NDXKk8SNQbM82EYfw0jCOSIw
jMvcNc855y8SJO1n2wHJqKcXo/20e67EwXFRFhLK5oJiZHjxgzGmSqSf4TWaw+w+u+Ew7euaBGYS
coy2vaqrblJJcKBUxsO01Ft3KEKTmZvn1iotVQVeDxlq382gpD1mEHwn+XNat7umG1/HMXtua+MN
34W8oyNoueWFV++arH6vLXGMGvljCryLPvXDDwo3Re7h2kFj2sBC9LCbZfEuX3KK3HJvPod59EAE
+COxQO+NaZ9dNZRrbqu8k/w8hGRVF70VFr/FMXqM4xJBUBqnfmhfYUQuVDMzWQUGVLuK7281xLx7
1n7KM6A3MmfTIqlfDI5jj05CzfVM0cI21BQw7vL2JfDbfqM6Fw2moL2uzjoUl2E4DKIbGdWBFcm8
nGETmhEg7IoYSkfLObXF9mHMfHFo0+HWTrv7VjG4OWKfDGpYlUbwPYacj+FAPGJJeW3E9BDajXP0
Vf/KHFeuVLgE/0ulDtawX/Z9Xy9dz1fAPByPRgxbW9J/fbM7aJvsHur+tvSgBIoLQSeH75o5G7Pt
yy/nnv8dcs0LHvcFXDgBOsrFzMsS89e/q2Wo6Cwa2W69AMvwcz3vIuP5/++v0AeZX+xkY1Zn2dhn
423FjTmj4EXDN1U9/D/8Jcjc/5e981hvG2ub7RXBD7CBjTAlmIMoKksTPJItIeeMq/8X7M9uu9M5
nvfU3RQpkdzhrapVED/wspAt/PVJ6iCOIS70/bVe3ZX5cVCulG7370/x17eFP9VPT/EnUl3DVNnX
jKG/NuzbtFxP4Ic5hWTWazT+P57p15Tk/AH49ZnmV/LTX4yxkEzNhl+mZBagZVjAxb5NKZtddSm8
zembL+Afj3nzC/8DYP3t6ch+EsdUYRCBevj16Ro/Gqaq0frrBOgCU02LuVtwGNOnr3+//0yh8xf0
n+8am+Q9+5t4yvygHxcN7RPDI0PjG2ig0vwCjhKfEHsQW7hucHSbTQbf/Qe4SBFkYDr8zxH6k/+A
QC8iKv8N2pOqYVv4nYsGMMZfPiBf2VFkUKiMELZNQxU/7pfPI7gIC+XRds6COANVCdpUbCo997OL
rjBlWMkgrb0XHFbVRafY3dynHbsW99WjGTnHKnNieGfxW4wtamQM34kGaJGBH31R6MmQupU+QRjW
y1XbOZfY7j8SL2VuXdFe2gq2fMEUPlz6Ei6pX2zsjDr0QtkqYfImK+rhrCg/+lF/iUUIwbapln5l
bi1VMJIjEDcPFUMnV3DvjBupkSWd1GUoWEz7QCbUZY1bJBDgsYr2FtGgQ9Om3FW29VQY1m6q+s9F
NpxgPyVkPvndnh0yoA1HpAX7wXs12ssYr+YichpGK2pentFt10PE3EJ02hYAOyV5oNr6hqMbYMuK
3ZCUPnBIftuMAqE6nx7TujvBapsPRDVzrxiYowj1RWBApdMBPFUxh3SNi9Uq6rVXcLIHHLVcvQzC
zlrePqeD9wJt4RZ4+3kY2eKV1JPrtBYFbqVsR0KXEO9c+aspqVyq/byzpXa+oQQHez/0HBf18FhE
4yWV1MD4DNoCEX0ZU3hgqs14v8o9rKCGttB95umi7dGstI9GKHuta3d9Mx6RmwElOg3n0xqQidO3
/RFETAQ4WZkbhJvjFCfvqZL1T7yfh0a+TKl5MkKKW5OEhScCAOnd9nXUuFVPq+BSA9ATHBWRtbSu
hzF0mCJJctwmdAA55dVACGeX1CAnXNkFm9C20U1SH6uGsJRgT1tftwGmCK+Az4C6gjNSbALPdm69
mNYPNxlnHlSZM77s5EgNUSWNBDbx4G+0cT7cW1kljlaStI92btoce2P1v+XwfyYQ9pd/Xg6vXovX
v45dBI/5sRoKnO7a3NxpzWsY/TR/2OPFJxNxnC4ONnrcyqyh31dD+xOeESYixPhUDagej/qugtOS
I1kLsShJxhkz+eA3VHACeX9eDa2559CYFXWHKab+p6NGBVXIkJ2YzsXs9dQE1dFIy6xlcrzXonLj
zU3dZKCX6HVvyGkvoclFWx0MOmK8BB6UQkFsiYA7nuTEpEM26exwasiNh2czTNajZ1+TGsWWieMD
TLu6iQfn1OvU2qX5xvadbRuJM0sMWBWmxG7lM6ZozP7WlHlLhk57V8yMFi0mlXFn+CdrRu0pZIQW
dilXo0AcK6GLQ7DdqZTvuJw2H6xCv65FcpYOAfAWFL1z1LvkAc7zxhtiunalc0ki/9bvAWky/EIr
BFDqJ9BSx8Z473M/ov6mLV6zhucZZbdBhZjDN8DOTG2bKozjwX1VS6xcwaqht6UBX1nsW9WPV6Lo
MW0CjVjSUIr+TLlumbz50Mtn49ui6HCllywwLgzzzYBNbG2pwTrv422VZavBb8Cn1jgrjUTbiTE/
6CqgFk2B2J2NjmvPYV8vto59DBPU6c3bUgvN9UgczFVQSIk6VQY1HOYu61v6KCaYNLKWyY62uitg
xK6eZY1bN95L7dt3ERS+XajoW2P03vFLMBgxBpdNmuwv8XeAYxkCrkEPR+DR0h2n6t1ok0eyBrlL
s2xYGn5xo2nJdjBsyw0kVl9/qks3pxJ1Z/agPTWVgrGCoiFItu1qChCHSo/SNIh4nxFbM7crtc5F
HBE3Tkkuc5LxKpB2uFFULVgqjaYyiYcCgAwo0hNzg4wUqSLRaQAC9UzNdgWX3GFmNnTYPJC5rWjT
wMAqt1Xt59A2wCTuNTP44it5sbJB1O0p9ghxMlc7yj7vahWHBmikraEQ/8DZvKqDVq465jl2l+WH
zK5mysRHTpaaG3l/UIfuqahHC00jfGgFJc2h7uhu5xVPXW2rK6uejm02HNNUnVlw0WVq7I7olb+Z
ea3ZbKv3lAeGTCS6+pk6UfCqfeNsYfEnHrWWYQQc3mDgQmhtE1niSAcSCTWneZkK79yp8T2N2Zgj
0P59UcpNNzapG2lluKrgp67BPOMtiU+wnZBi/GBFwcMpS8DDS/qkekv5Enrhfa6MJchlP1gAWP2i
h8VDF9tLxadirbKF9tpVEriV8gzhBCBbQ90rRwlXG834wkDlBSDOodasL9ZUH0ZZXE2agbY0ERzP
5XnIc3HKKFNK1BKsHLKTjixEyJJ2TxHcYDEnThOOL8K6i5WVMdqHIiRv2VENACO+crNCuQs7XANN
nFzsELeLyCs4AATvYV27yILXgfRy19Sbpd57yxQAnaKY26nmCtt4UQnJvnbcKkYqDZwTXImd1cVn
lEC3NXjXuSIeOpiamzidXhyTOVoDWo2NsZQVEU6Fsi5KSo9tP+2cInwTsoBAq2lLMojOogij2yaR
b05FsLEdCDJmpfXgKw3aTurxJYa/xDynWaUlayF8ZkIkdSbG9Nu9+r8LiIYR6593XJoK36vwNfnr
rjs/7vuuq6FoYGiBrvLtnsEd4HsoTTM/EZ3XLI7/OuZHg0d933VRSPAmq+wlPPArHujHrstWTSLN
xpeJTGGCHvqdXVf7uqv+cUll1wZZK2fbJWORWfeY7yg/3YmtoKyyQSnH06Cjcq61WLWtU2HBhf5Q
p4ktya0atWG8qBM6nba5SfVCxrw+YoRiGphnRDCP5r1+W2mdRemDKT77al27ueO9Vlp8S/V8ej2C
iiXHY+LvmbslUXLqU26aH8jVjPxSwX6f1aQrKSBi1QqrFduutehSTR6ntk53SkZlJWyWGG1wMOlx
iCIfGA0nFsZZzpGAQHwgSgCLvujHdSUZpzfsEYskZY9KHa1akPNyroxu3NOYcLTzxjtQfB+vY4UF
nYA3eFRbgEJPY+Jng2MFS/R9gbA4xNC4rWJZDozkwLdlS9VQnhPGR4U5ZHsraO9Y0lWmrQb1eCGa
jO+MylUVmZ/xns60eUvb5DL6mKLoxepDjjZGp6W73rM8euqi8b5KGw8CTgBJXedcHUTvjT+JZ+bu
6mWCwrjuYI8vrTpBduYMXfJyM+L8CpgWs1eVvVEM6lFC9NyEgYCBV7XmsbKsi5340S3DaMKy451S
QPXPjczYqHZ+sUwo5I5XZa6NN575ODLSFLPMGWrPTW2MlaMWtMS1RvDZz13h7wpP1eND4yHob/z0
axHXVFVmdQ547zoRx+Fp1BANQJtqdGOQ71LB7AGlbM6F7ZTEkbk/YERoxjkQ3ibhDj78tAeY75xD
cj8l5wM7x8jHH8E7Ox7ExCAEKdBpTnwUubOkMHy6Je6sDcuvX9r/Vq85z/DPq9dt8Fo3f3NjmB/1
fe0SYLRn4+zMFFMdy+TE/n3tQsNVyQI5pFxRTFnBfqxd35qFsYzjVDO+msN/3BgQagXNmeAcYX9Q
nYGj/DduDFL/S8eFQXgEzx4JEnAitvOn+QnDXFUvGINyqrdwkxpE2jWjf+gssMtNqZwLpNRFPYWn
OAFNz0xhW44+Jy/6yMAp2O95G55g7NzhBk9cQoqcvnVWjtqnTsnWt3bSAiTyMG9oW7yQq5TT9qJH
ctR17bmW9BNAvVzoQ7Cqh/IV8eI0Nu27BRO4hxjRKD7OGa04lYPxGc/nxh8h7eh1Dp4pTNttVFRb
CJaHOvJXOSHFSXB00KtgocnuaIr83uq7q14ELcYWI9wEk3hNKlBtqvoEikOuLc9r3aJMQaJqCcVH
UEOIs9V78CLd2vaKA2OEraNHqziIbr0OYMMAnnXVFZRQaAZNm3ax7s1U3aa8uAPxAOFOdo8zKAMp
q8AxcvTkCwb8YjMKAJIh4dKFMnp3VZJ/JEU7LNWsV8i+R6cYd9OSQGy8IkWSYEGypIvkNLJ82KtY
GfeBbLDR9cl9Iytln5bZEt/sJeDYsshsh1kH4BNLNicnE3dl0G7ASF3CIVRW7aRg+cMlpU72h6Yg
2TG4uAwBtEUS3c9RpN2MdaEQ2cwtgL06ffOmfjel4TM+viVCD0FdG9uxHoZH8OOHqFQ/6prhRDRR
Dy/CdlwFtUnXsadf2iZ4DCJev8/JkixtPrlmYWwxK3NTynRjleI4zaMYjkmy7EHhMmRhQW4001UZ
KqGV1YuRohUcz8GTN6Y3Q8UFJqceeTHpLVFEWK5lxjSrGR257CMeB/GJhY1yi02at+c8tx8JuPG+
1xxKNaQ3NS2etTY8NlF4rEIn3LG42hSeQsEwRAbJrR6FmyrgiaOmoAsrx5vkHMtwHuEoJBGY7l2p
Uf5cRiV7V8J+2IYVCTzsOj0vtJ8Jm1oCuFhTr4VAAJQ9vD7NO1R+u6uz4r5Vuk1eZ6cgz9f4Hh2k
eSZLft05OC77eVNl57PV7mnmodYdVJxo2JDfG5dRxkAyM7GrjfxWo3Wdl30DHLW7teNkjeurnK6a
7uQp4XpUnZ0/ZGdNZtei87aJRI5qTWAxpIZgCeqLtq3cNicSKuaguhkl8E9SnHG0rHiLkmtlnvFD
s1QWrm2KFB8RGPhU7T5o2iaSlOrWfBXmqxrXbwMkiD63gcYM7S5XiJ7ObbUb6g13gVbK5eQZabUA
qoegByZ6oyiDv5IDYHQyWRh8FVtHjaQRGu/6PvfiCMiH8aWVDeBdTM653j2VU/t5snpQ1DUHAF/v
r+kCn81aJgiNxmxWLEcEWGWbieog/KQ5zAHpZWRTBRMOqMGLLG12Mksjc623hSnvuWmR/A2Mivpx
A7yK35cZ+7Q10E9uf+0qtzPFgJ/bMcnZglgaCdLrcgqv6CcY21vnW0TGqRT9QIgTa7fMkuCpItPb
neOm2OY+wG0GlcmKEJexDmccd6lOrwxHb+oZ1N3Ew94An7uuZoi3rZgHSVZtKZlrL1pI32WekyJv
TC6DkfEUK6btBh0uQQ3tfq/PsPA4wwLB/46/XOYvhWe8BhHur8aOUhTd8gO6TOfqwcxNm1Hk6gwl
r5pqgIk/nMaC5GjoROu4UICwVxfFaw+MWl+6sP8gvef2A67OWsN46hcScVwf9sG4kypcQMcqXsOY
klx6zBeNkJQpcyhfNE1/q4royoOyrkTjcxKIj0ljmlz78iPuUtgi4VKZ9mJmtBuyWnlA2+OBpUcN
wCkOyyE5JIF1UjEpLh1A71ioMTjM5PeZAV+GcIv5MF6Z1gxslI6/UkHGC3bMZQ+cehkO7WnCgU+j
2IzjjoqtReqVW6vabHQDDn1hFEtrJtNPtPViL1fumng5Sf9RzAx724gA0ipxtLRjp+fJZ3ci5Dsd
v4E7DYnNfRTueG+TyEiHol9RA38sbByLto2B29esc9hnpzZBEx+4zDukAOu03vpt82o6PQb7Lr4d
ZyD/NKP5GUEXrozae2/G9rc9iZAk30dKzGuE7N/OiH++dfjAmwnsv0oBQEUTAMUL9yzQaxVbPoJz
g6Fd32JeuS875iohZQJcwXdlr2PFLG4cmb+FbHQLjf4BQ20OxlxIAJ3Sg86lVSi11c5XOraEucBA
SCdaoE/C1h3Jt/vo+ai7m1piYQmN+kyS+5qTyDoTzQM3iS3id+Aac2nC2BoDsWCKFFTNLpcO7tON
gg/atebCBTPuNpmiaBvI0Pau4Q/q1kFyVmmwI8vf7FvKixal6ewhNt4nGfHGMWcTnGselHDyEeG1
Q5I5povBndJ4vmkHXxPX5lwUodScdJtMTXfTXCNBAgc44NdqCUvfGUZ4TSXlg6Lm/hqmFyOwEOAC
TpztlAq+EtK+FlVHaYUGbMekxyLL/Uddluc6sz5P9FwMprouqL7I5woMSqiXDbNILy2e1Nze6kZ1
21OaoUcKTixaNNQkOAhqNfw02bSWeHc4kDMcvExz/4bTqLho5kWcaA9rfeD+d+z+5pD8V9Xy9Iqj
7G8mBj+rluITngEymVQf/28Y//OpmxUcHC96uSBQ/ePUrQPVE+TXOIyrDtZCEpk/JgbWp9nMCIZY
RwzlK/NbYU2hcSH4SdZGtSSYTQusAQ6ZV8EP/HViYFtorqaiTmc9DR5KPaGobBwz0CfsYdqUru3S
3GgwWeSouN3gPGAPYUzfckaESn4X2RAf8maXRtEKq4tXLy0rxcgUBn1xj/te4zCsXnwlq3YNC5gD
8SNS3kSSp2yLmt4FBwuoJeboTIVFwrl/W3M8WqVtRFgqK4COt+ZtH5uYhbvxDEOHfTLTl0XAWacc
8rtxVB7wttxTTtAuVDFBOa/6namM4DbsPZyI5RjUnysCZjLOCG5E6k0RCRYS5UF0NbRjdICF18Sn
rqgwN3rZx1hBFAjg73iG5S9FleqYBYcz5XKvlAyATwEZuOTi/qXs02nZqB5mvcFe+WrTu0UeaOvY
Mi0PJcEYd/2QkyPp/YPW4oMHS9NqBC9ay2UEbbldGmAlFN2h6orHQHWeFcPCLpnolxhSRyPxH4XT
tKii6b4hjNS1WnGleT2g+/xDUPDQVeGNg6t70UFmAWy/09LxIa7bA5W3H2olx6WqjBbZGx2oVwhh
VFHiZqEn8basFcx1gekqYw5QTqitK4vAPouxGN1pLCkhagDdBDk04VnIzanKoVx1VFZ2HAOYG4Bh
mKr1ORj9faZr44bZKE0ig+bSJbdzTH3LGe/sJUwkdDUc6cqpyoLzo9mmm0ZiMlzIJN3pTeXWtTw1
A0dZPefGEmTd2lC9txgvUZwMysLgYhJlw6tv5vHXc2OeONghZ/MjiHgctsqrWmHrrTrOlRoihFY7
70yn7BOWY7hzat2uRRuYIIx0/HtZdRvUnnElmjQ/aMKfoXIgiaaq3cJfmzDhESpKOouBbKqxa9CZ
lPD5v8JHv7EUY6eU9YMqJYFN8dB3nLH8oFaXTS20K70Q0bHIuF34XMFRGvCfeF3ElWqIDBdrq0d6
QlOvikEHqidyaxuyMTlGsR17f5+SAkJSF6+MFuWSsVh4RlwjTCcNFBh64ZoakOIYJqQIsrexztei
C9kTkOsdDHY+pCFQuGMCxx5v5ZBufpol/P/Yn1BodAnGBcXQwks9a30/TRULHQw5SDbtnKRAer9Q
hdKnu99+CtLppm6A7tbwU//p8j8W/lBzpDbOHOrb+Hos7jLn+N8e9XWPMv51j7ptm+a9+usmNT/q
p9EQvhpN/NS99mOT0j7hsmNuZGi4375i2L6PtWcgPuoydDZCzojNfCz+EJMx4WDfB8am6V9LU39j
NMSk5y+bFFsnaW8xU9/YD/+0SXXU5DABcsaznAnBqpLQGoR5oz3aFKNyZ6wv0eAzI1WjAdW2kxSK
SY/6w37mk6VyQ9Uijadz92kYqPI4zH2oXURsp62pioSKwKan12uhNWiZc5Pq0JXFRRikiE280cSn
fbmpqV51AMa7CqWBWcnVRwumSxqyNHlzs6BSdLhZKRsk79m5WY5I6Rc0EYY5bmGc3tx8Q461GYWF
WFySXZeC1Oa3WKlzqyG23oHMKE2HWky3M2RY+g9DihCBLbz3FCPCHzwWc1NipZrKLprbE30nSdxp
blSkGOZFiFnq5Kd4lC5ysOgZK4Bam/sYPYoZVcCIwCMTyg+7i0p1Y9oW9w5VjlR8v4BB2UCD4sVO
WNABiR0NSXwVSvNpKuwv09wMOVJn5trsV+PcGolCTZtdixIVmCBooYLGc8ekpGzSY/uylPKUieIp
CtNyMesPbhjQUNnL8W0KxZUW4hHvuSSEgc+eHemlfV3rtjJulHYGf1LS6HoqRNES17OtVauqyDcC
SVt1epJpuKc1Z61V0/tk2+FKWt0hGySo7IrUUF2PaGctgSojjbBN2X2xdXzKZXphPAKbO7UKhTel
Uay6QchlPb57lrkSApVWeP4rpx9goH6+tGKZLRtjytea2iQnOxHXXjVSSWBCaCuigpHX9GrTEYfZ
hvxukOTm7LGV86Bkh3vrIYryS6umMPFMuGBA4tZTSYoSSTDQAS1p5mXo/UeIbs6iSWtA/E2y7BTu
MTaXFhq/oKhj6WmW5AfVrZVk4SpPawDnvkeUsHQeCi+6jnHzIOvTndvb1XIs62HZyPCVkO6sNeav
1sAVth6UcFkrHknDJjeWfRPHlHIZ7OkCKR/oWcEYyTcw+/q3lkfl+UToeSvS9NSQ5HbbDLiaN0zs
NqXF3MUwDonSX6DePMPV8NjiUnsla/OYmmJL4SP0ZN85Dxl5vkQRTA8DbaeiIsEH1poFuCq04WQ4
54Oy41YJBrSPP3Pge4xS6GVjfx3N2z4KwTvqEjBin56i3r4iXq+uIhxMC6/OuqMz1td6oX+JDMIU
dREQvR/f+oj+Y5HdhhwzXQzdAPsbDiaK9Ne2jEAFzPdqbGnPlApdhI+DidzOezR1dL0IbzO1+DxE
opjI5HNfqD/XFfg9X+owWWENecz6/FGrZn5iZ7ySY3vJONLw9ucQrXIOfbigTxhgH6JKOWh+t7ed
VF2pg1yZAUUC6EYMvlq3o/wDK5zy3JTjZrblUchLL4NFDVXgW0/NBDor9nVn2xWYPeqUxHyPQE5+
xjHOIs5tymeYBn35b3v8uj3q/66cQEdfvBOJ+hsc6fzIH1uk+kk6KBMGdit+7Ez1+GmL5CamCsvC
8QB2BNH1+xZpfnKQUzjOaEi7PzN3dNRiemL4J1PjbIX79HfEE9361XbNNc4RUqMGlS2STVk6fzJD
1+0oaRSyFZrS0gjawq6b52NZYnKV4/PJrWTcKrWhu1GQXhCFCVGE7G59GT/2Y5Mvk6jBxknOvIjo
bYEgQr63H1EyS7tfhnX91qfDQx4NL4VanghB70AU2+xHSbUy8h4wsA5Yu9qkWhoRBk1uBoFbQpb6
Z1MDY2iZtevp6sXhRrLobY/Sj6h6VAfrY2AQvY764jYVBMu0uV8iniDtKNa0IuT7ZLRFuwy1YpnG
RP+piUO7zZV1Bk0Dn2a16WOSJgYzzUXdpnvgWLC1sXD4i4myP2VJEu2lSDplvER9Z3frZNB6ZIS8
bvK7tozUArcn8snSYQac572zLjScGl09pituRcCVR33VUaYIaiW6bqMRYjviUppDdGjV6EtjWe8e
7mPa/mwAnM1V0t0L8jYQP9FLe4csOlesW2vQGM2n4iVKmPUNROdX44A7iabDg+nV9b5UszeqrSPa
xBJmpiu4l+jqZmqISxlT8ZkFFmfuMb5Tg24VW7C564GqhUE1njLos2loAWoBWXgk3Du6iuWsMss5
634BTya/qrV6k1bBOnGs/SC9JwtvIKkXfdzlJMvbzFB3GtUeJA5qejpnodwz84RKBpKHvJ5H2ycb
1NFFsyr48y1sjTyP1+vp2bPVO5puujW85ZATi3UwKNGiR7AvQ26iMBpWVUIJ04qeQWCJ40Wtuber
JkmraIZ8VoV660OWpPsMWaXSz6XvrJVBcEE1LzKydl4ybeKO25k6ofE1/l1jp2dCZBsxiNlITDwt
5Z3vi0UQyXbHfv8orZzsd7Dpe/shVSY06KreDq1/V2TTserD2yptnwhIbknBVexDQeGa2HO4Iesb
6kflmu4NsR6s8Qi4QAV3i1m3baN3uvgWXcVrUzgLrtDe5NYUXNoma6NP8oVBwYrwDr0nHDCo27hJ
ZVnsRvDsR10xbsO2f8sUkuP1XdVqmuuUzsUPomVRd4xaUM5N7UF1op6602iDY2IbjoTbc10/hXX8
krY+81XLXCO4I39Ru0pbME4zeBJ8QvtXxwPYqaYA183pqle7c6DacOr7Q14r5LSGJTrum16oEKu8
6Hbyg5lg+lhW/QxXeUhKVVupYlyXWUxKPlauPNXZRGnGvbexF4GTvXXIKCscUUfHH9kOO2blCf8b
GhytrA0w2HRn++2xa7ID/+e0GhAn98Ru2cfsPhFr+uFGEuPIFzcBTnyxUEz/OZobPyWslUqqTP3r
bRx2z7XTr3unW+EG3ES6/dLY2Slt8S/nI54srXWbRqcdt3gaLY4igoP5gvj/0Rbtja2VCdnGHthK
pT+FbbXr64pWys5D/zUueuTvsKxeRAZ/fZy6k6Sq2R1ktvGyyt45lMMGMZlXO36MRHzkvHJvZRi0
8K3fNAH6YkHpb1YeYrUlkGqQNeW9SIvus5HyVVOrU9iJ85Ck7c4facKKwm6bCDoKHHHDh2Sft6hH
QdWcaw/noUUYsm27p1SUS8D3ybqrVS7q/YFb9kHRVRpqemVnjMChKlpUK2CEU7/tIcLTWHkEz7lp
kunSdAx05uICdIrDUPCRtTltp3Vy76nZSwycySjlrqmM99ogQJmbO00PHro6vJV2fScNLgPS9CBS
BfjY7LdYLZghtdNiItZKGOwIY3CfTYJvmNajGsYHVJCXIdFvqQ3TUdU4+uSl6kbgaYwuXGdFcZZM
VkLL/vjvbPLt6s6d+V9cHXnymv3NucTgUT/OJTSzOATTTIse5m/1Kz/OJTStY+vQLcOc0ZjzkeX7
uQQWOkcYhBvdVnXr6+j5j6s742aLCL5ucKLhMP87BxPNZqrwp/ky6E/wn5AAicSQO/t1dmTYKZSc
Voxnm8LZaytCSmc7t57yxBB7Tv7xMyYka203nXrqx8JbdFNHRFl204Pl9M1toObJht6q8GDSU8e9
sqlIOsAgsUv1KpltmJ2ueUcp6R3Xh4bHd7igli3m2JVK0fpWwZMwCM4UpEibrVboMeUIgG7JwXlL
7kmkNIp6eEmDwN/nJaAXY+ZlC4KYmCpssnjV+OCIkvud/jp6qbVvsdism1zpD1mcO6sq7wdwno6H
KVY9x3qbc8+PY1i4JQwAgpN46FjKHcadCzWaZskuit6LUeuNS5OlS2hePvp18RwMvkfrSccSXOwj
DNZzOzId35PDGJZj6bWv+U9qPO7DVq/WRpFdJN++FR5xZdOY/gROvtX3QaBaq0RPDuDS6l3YGM5S
BWUERyMzVp0Q3tbUCKwgCcf7MuVe6uXdZaqwBhcJdx4s0NNCkXIVxQDQhe9cRTp+kW7kr6O0SnAT
9kzl01DTznUtsNhYxNvLoN5TPvNSFhbxkoT6DsIJ0UrDuR745dS4XscbhpJWcSHE4u7hdY8MhSJY
zO8DLvj0qx1+NsZ3s0V+wCtPaQ1dFaqf40fGSI/7zo1x1kOhuFBmqC/iYdgIvPfia5maMRvyK5z5
uL6vc5z6ql9bODLCHSS2zTCb+S1c/d5s7zdnoz/FDz72azwGVpYeatIAUhILqM3+tgtwltcIpm48
hwewW58t0gQZqYKOdEFEyqAgbRDMsYNpDiCYnnk9etzuSSakUwiUhqyCY1AFOM3pBRT+gjSDrctk
iVGFEx9trROJh1RUdNoTgXDIQgxWjrFwvC/nkMRAa+GCgrQUdXF2+JaxBKAkdLP9TLy/cjGGcp7j
bn6EblPwrUjD+KiZJbdbirDzfeGAc7W0ajj61HV/G9X+Z7Fjqfu3xTh8r6q/s9jxqB+L8Vd2CS67
+SL2p8VY+4SiSzYRTrIh5orQH4ux88majW98ALgQ6vCV/5ijMmJFGmT9lMz7v0Z5fmeOOv9Cvy7G
LBOzFolLmK5S9MVfF+NJD9JA5KF6ZlsAE5xO0crUXnL/i0pPlqQdpzKzY2h3zEl7B+JPwb9XtFcC
8jq3ZbEG9XuTtO0LrisXOQgDehw8ZZXc8M2/0TP7VDhgDmrrmfQk37GhgYGMz1RaNe4lCcbNB404
ZHekcrjjOWrilqXWLImdPYNFw1chDhLmId2Pr9OM3IqmJ1qESzcdGmxn2cqhNMCNgc/VbZnSzDA9
UTaw7QMy6kbcXA9W8My59R7v6ZHJ5hNWbuD6UnwoOBz4cjzEXMIQlSAQOMp6sqZrCAPWgt9sA+Gy
5cJGNiME96TTC7ywvH7X0LqE5416ULy2Vqmsq5rFc0zth7LHhDifx3dAD7RF7xmHiOYCN+qVLchG
2B7UrW5bJpq5MewE3Ma+MG/6or0hVVHdJ3J8TQqAKmZJbUCgPjKmpksiT91CHU5+XEjKmCxlJaNs
CxCQRoK2PcDz2rEL5jjk5H7UvtRZ9uJ77f1oS0qpDRYOPH8vsUp9ZFLqp8Qy3nULJK4jtXuTTsxF
D3WRIjJv3dREBamZNZlOjduoHjc2KfqCEXNb8zfz/YQx4ehHRFjiqOmqK9i8WrDymFah4IVyODR5
OC4mo1CbXW5DgG4sZ1wS8wKBVeZqhUcrNLxuVde44l6Trux3USNFgx9DHdLFoPejAfs6Z2aZGMHS
D8oSi4zDWb+ksjbXP2dBVcIDMcQS8YyTvkCp1Ht12U/1Z1ZQA+RB+TFr19j0yE9m6G3WXCToy/jG
mmmflm5dKQFd9o0o+Bkg+HIleEoG4zmzhx4tu7stWsgfjlJgwCvll6ioP7AHvU9NNS46K3nwSdkt
dO5gagerMK7FoUITJF3a6CtDdteDYI4MVHRrBNWzHctmzVUvWUnPfgZcT/TVMEnaWv2X2hbzLKaH
kp/iEczC2mbm7finxFeu/Oeko0QcJZV+K2OAgZbyecl8F4DEwcw4qOTFpdPxoeJ/uy/mcadJ5ifB
LEeqoKK41nz0GMRsJP9ia/2jP5UXCEIumdL62NfPmZTkX0YlBx1iTeGSHzUsVCteKmag/B97Z7bb
OJJt7VdpnHsWOA8X5+JIoiZLljwPN4TTdnIegwwOT/9/zOqucrqyMlH4bxuNBrpQbdOUyIgde6/1
LXZD5HdKJJZZM3Am6fnGk6i+7sYy3KUR42q7uJyaaj8U1VfbMzlQIdtW1/WYNq//LfK/FfnzMPPv
i/zFPJ9jCylaDsG7t//9n9/9ofMP/bGtsHeg1/aAZRlMcb5TbmMDdWZLPP8x5pikP7YV5Nmwt9ho
MJ3Y9veuE+83MqyxJ+kWQL1vJP9/sK18631+v604hDDZmN/RbZOdPf99H+fDiJCFVYSRcRKDqSJX
kzvebuQjCTjFxq7XTBM45bfjA3ENxkqE5mtjAAf2xnRlqQSSJENgbtomumjJHSWPqzgqCVpvFwbl
ahDycgC6t+JZL3G7dV9Gr3iKIOmMeXadYnUkJWKvG/p1XYEWTWryRujmCbzX+qHAAAJw3LkTqVcu
My9vt1Mf3E0lfaJwxjaVRDHZQ36yQuMELcj3MN87pPymwGB2kyR3qUtZQmQ0bMJ08nW3+mpW0XXX
h9a+gE5Xjc0Xl4XQExP5wDmbhc4OY+CgYHCYFyTQBUt1oOfvVNF9r3XP6QDUKUqjrd6VlNwCb3oe
GYBf6Z0w7jMuiRrZZymGw75pvtYyQvCilHCVMxefWQNVL6xPiSV5ISma110chCsnZwSZRtTSnhoG
l8KmciZlCcxSbU5fmdilBNAgKYvnlJggj670YFQXkWjeo1b1jkmZ7Syi/RaBXo2bqBDuSaAh8B2w
6IumizDuMhgiAwXZRRIWc4qUZm9iiV3XbqQFDdMJr9SQ3N6pShCazkkieQE30uixzcW5gVZyzJKt
YQxMUeIYu35EkJ2Bqc8gLYpHoCy3Odo5mjejuslMrEOmWgVrwt1oIOatju/SyP3CSA4aDZipTU5p
oe3aMUR3mbtfgykhpsnJTV8hAGc1dpQQWuCMm7RD66gm5OXUpjb6DhkFmzZBIZ4MDfELOs23PGyg
RMdafA1M1t101SwoRTe6VVWAaVIi6xOGoVzhN+IoMHGn9cCeE9uqvXYx50GU6ykIkOf5St5pixTv
zN4Sot+EenQ76uLcdWrhRwrIeQIe4e0B7okjmwBgUo4p1IWBenNEej7NH1GsF889Dtm7IiKhkqys
Yjt2RbDQBw5CQCO0E8YAuAPVxGyQz31hNEq3dXvar1FvMk92uvgtpR/MUdMJoHDlylZtafJaiD6D
wiOIzwYw7aF5JDwNBJpJ/00hvWrVsIUsbfIiEAwOjNO7a7vPCbXUExr4mZ5dpmXRbi023baYvrSa
jNZtRZ8r8zJaXxqACWOwV1lT2zt7pFNoK47cAI02r3Wluwct0UI1brsh2ET6wPwr7qrXnr/KmbBh
BBHB5MKNalSk463GSXE9RCFSfOntmZfbft8TKORBUcg6wXjYgR4JKNyPi0LZE6y6jQ3jTs5YBIL+
bnM4CU5SnJmoLRXFOQrrOYCm0JW2fCSB9b2HszDMwIViRi+4M4Sh+4ZjmMEM8YxoCFP1oHO1iDQO
Kc2vNTzkpTZlR7VXCTbynPtpBj7EyeQuWpG/CTy2lNP5roQOgc7u0FlxDpMXcAQsqHKTxtR/g4ww
FI9kO9FLn3N58l0xwyccYRBqNQMptDonvjS8ySBVqBArYGuwCqqVZBbdXMRQLYaUbrqYQRdSICvV
IMdr2BXqGYaBzRXG1gzIyCBlCLd/6MjSXSFcOpMED01zRmoA2eb/OWM2uhm4UUHe6BJ1m2FJxucc
rJMZzoGoaE7/nG21g7cCvfouZpSHJcGQRbr9BBwiBxQN8QNdxmsJAaTorEdwJHi+YYMkzfSF8Qbp
DuWw5aazdcQwZUFaNawz55Lghk00o0ZQq+IhUMqFLDWQhkSZ9AwGZjyJEvdXRZcfMl3AxIJg0roe
gmrjkpbCRjHrTdhHK75TWi4a/2y9RG4cLwVhT0RJwMnoW1+W467NzcjvmGcrZnoVgCFjL+joCowX
UUtonKesiFy7zdLQj+xi63Twqbs8viUua9npFEJFIGjxjozNXYiscAJV6CCCrC7Em+/BLFRgH6PC
p74T7jnOU+wmdnGtzuKG/9ZGv9dGNCX/vjb6v5yYyB9ol2YC5x/FEWdu4h50zAkAPq1ZhfRHA5S6
iYoE0CjWsW+M0T/7n8xqVYNZw6xp+8YS+rP/qWsO52Ncq9/qJuef9D/54j8fuaGbEmKJrY0qzbXm
1u3H2qisgN1bY0BMZGbcIuy80YV1kZviKh0oV3ppRvtQZVnWzC15q+Qop2mwDiQJAO3QBaCtkZg7
Iys7odPXKmHCsyOL86bJMVVM2lWr4jAxPX5XwdgLsHil7byw0WcNzU3jwLyYitKlUT8clRocJwhi
iohJKkuFWeDKaR3CpqWuUJ/19aVa5LfoV62jI6fikOhz59LWMakGgujFzNmYwgsXrkQZatMwZWhX
3EbFTBhXcpiWjdjVlbUO6PWySmksR2b+PtUEYKuZssh0a1sayg2YGES3tQCFMUn6DnCpPdIHa6sb
sRn0PmLhRDtoofEmo5fGQIMabsuSQqeXnY7vuJuR2mnGrBQ/kA452a/G5KWfEF+SIPPWtf0eAnS/
8FRuqJHBTjQgChUHSH3hK0AUWm0/mO6zldi7Uk1MAvdYJz3HOjS0qGNSxhcmBoYFqO5TauNRgivg
azMXojXoZLRhKHZOg/5LBPm1HtLH9ZToFd3JlSjcDmyzkQElQQqs16VON0Rqa8NuOr8KAJNmKYLa
IMWY26juQY+j3djRLaCfh2WouB5SfAnq1Gl+beTO0hUjYhMvH3z0trUf1q28CVuVRVHzHgBPJIQc
VJtaTUirdW5BvL9oSlhs8pEhrNr65Nx6qxLCz6KavYh4ULaMB/Wl3dZ7hgDk/zb1xjNQDKSBVqjn
ymyLG9LMuXAz8wXL02Q2sP3Qf+tSmVGPL15JS6ShDgTIqT3Ctj02c6KnQiWxinvjfei7d+mM41rM
+Z+1cAPo7daXnFeUcluPSK4gcjpGmGfpocD1o+5lkjxVRItOc8aoxey2JHS0HnE9CdVV1+2cSFqm
yBkaIS7bZOL1kbdRGHypI1C0hUGsHsT5m4D21mLQu4eayNO0JhjbJQQ1Hhlll6ONkh0gpx1adzix
oz3lNhk+hKjyO/sDkkG5HOis+G1ow4mYU1dlU6RrzZu/vMEg5IAu74rAugdRJs1STiR+CPove6F3
tP85WS+iMSZESKCgnwZRPobqnP8aRc05wQCw6AmHHeaUWLfL7905ti6EajlQS9NrLsn9nMPtgoyY
OzEH3jHu1HciBv5VfovD07sdrknMNS6zum+ReXN4Xm0To8ey2GLlE2fqH6yuZO2Zbb1NyN5jiICZ
MCGOr8oUsjIsIvoUwpnpFRHbhzkbeRv2UIf/wSZ6TkhsLoW8I7Lkwmq6fWnAs8RmIh0agpPIN5ES
oEXIg2lRkBsoh+4uRnwPQSU652Z3lYb9vTsnDZI4iMyafBgJXyQnjdCW+t4knXAUghE+XNJ6Di6k
7jdIFiDgmUxDRyXcMB9dQVkwHANAm8igM3/oNd/Rq70+RyOOZCSaZCXGZCaaZQK8sDrXiYMqUYov
QWAhWCRnMYuoqc3aJQ49yZ/FHMYYzLGM9IFuy8i8GJSq9GXGU9PCKk3vDWKqSFCb89k92ro+/vm9
Z8Xl6r9b+Lct3ESN+/db+A0CBd6x7q8djvnn/tjEtd/oGyAwtmY+FZ6UD5u48ZvDDkor71tz/EOm
k0nvQ6WHodo40/+N3Pj3Lk7z41uSE4RQtnGYG/9oF8cX8nkXN3XXo0Ov6sia+VNmgfIHBbwWdKJL
G7s8D42KB02a/cKsAMSRALyNHMYucpzlshwPTnT41Qs1y3mxbJJJdxld3cc4D8TRdlXKR8OobxK8
dVtr6MRlnwbVW9UG+cbJ6L5GmYOqYD4QLitP6Q2KZmU4Cw7BpzpJzCdFtdu1FlAMLTkwM08qguIy
DSvvzWU2Nw6ZdQo1Tdmjbew3k2vnd607WnQYHdxiutUdWxGxOHZFSVXRKSxw1ljyBqgtZgqhv2Oj
yR4tNSu2oSXoVFaBeJGwxHwUJTEHaNS3TtLDnY5kddUnyLDRiKzDOKxWEk0JyhOFROnXkmOYeaEV
wTQOjErTbqNNLVFpZugl0SV6h66mhy2KhvhlHNVOqA3RTYQkcsFpDBT5hE/P6S8BTpC0poZmNJhr
1BGuw2Ijq15ZsXdkTIQVkms4SaL8TKReo9lCweXVwfBk9/O0ViEFmyOMXaxDTtz7sbPHG1pM0wtm
B4aahR6rF6C6IuzwmrcJKhl+4UmKl2oxTS+BiKZ3Ox4eG6VeF2G8VxxijHMN229vIRYBrh5qNFw7
+gwk7OAKBPCXlkO1slryVhdDXiJNi/swXgvQvuyFkhIJ2+KD6cTZDprunYGHcVuBa1lEaJ3RTjft
1k6EfeNGVb5rlda7Q25nXw5era5olnvqgklmeRsINcegnXlfFKdX9pi2SImmi5W4mrJqWtjHUlHE
4AOVrVug1nH11VFKsWO8XhBW6QqstJP9HGINJI8JovuA8/ngJGZyFHion2ieAHSa0ECJdCqfpm5Q
Lnh4AZU5RX+C1RI8ulPe3xVkWPgc8uIbJR6qcyQBdxdoHinNTFMKNkhT41jqAS0SgyUgTmKinAOR
7a0ucSjacmFmCIWG3rga7cbFWFba2ntVVtO6jhEMe9gfUZOhrfvvWvxtLVY5Xvz9Wrx6z/51WTY/
bDfzg38sxsZvFksmMCNIvvbMJPrzRGXSOcaJQXMIuNBHyNG3xZhVWsUihDmRdfKPKSYMEeaJOIfo
XBuzCfIfgVbZJb5rNmNGsehrswxjkGR15yj4cSlug44I6KnQzwXdBTWND06YLg05+h8+mfPvzKR/
0UM4l7B0xP/+z2fTCXeCt2U+BGpQ1thlnE8XUkI1pdmW9mecUemuDVXX9K2p2+dxHi9KsrwIPHFo
IbTlyRu7Q51Wd47e4PSm8l32eQIZAGLShWwsb2Xw7i6NEZGCYgEzDPrmsRcVMCM3alh56RJHIrup
uOASndm5VOMC2zQmbrdGIeYqcn738rkDSbIVfkliJnjViKJeebxMBux+RBVyjcmzRfriaYTMMZ10
zAdC0o5QuD2yboxHFt6SwZd1Y+jGtZIPl4piXbZzgJzaz1BY19s1HpiSIA8R32p3QegiAw2lXOkR
KZqdbK8sZVoDZHjw3Oad9J7nMB+fmgnVWdo5xSob4zPJ4Bc2goS14yCRBEu0EaSzL42muSvtcBvP
megZgyV01F8KRrdrCdVpZUu2vGxePZVubnWaZbHW2ulZy3O5nMzkZLpkg44ZSCL0J7WdPneOdgeJ
j0CcvFsQ4XXt1N0GmfQ2tPHFtVLk/KFwH8K2oOOuWzfKCA4kb2t36XjPXpv7qjGsujpCGdSZwAw4
A2J1AvQokg0a26/uCBFEta2jIjtrx8m4mGM8lpozXup9txxGvBh9pEHz17JznUXJGlXoZsrNYxgG
4aLVzI0n+WyjeYdRbEuuqtp7LuiYU3Vel8U0roxJ3Mc2p55QMMkz2uxG9N1Os8DWNob6qhJRtgj7
8T4D4bAZjOmkDxxbRJQQ+Tc1b1qmv+noK5cpTBuskTv6GsQsEUXE3OMqh7uHqsQ+OMYEIyQrXqek
eowceFu5Xd7aEtqAWTvptu+MDc1+9CXBmram1/g8YhylTBiUbMz1C7GVYbOeXAUVp2UP4HTVAbHm
YtSbUGxN8BUr1enXmtvPPcxm2GcZI0d91JZqoO0a03iDtLiLLW0tpxICLbhKeZ9axtxp7WFKLJgo
W6tu0OJVmug7ozK3GkOLVmXI49YvgR1fa6nyTrGH6xezV8nTSG9d3g6haDm39Ssol9oObC9Tgl4e
XKg2q5mQbxFmRadUxvSNw/7JThwBCLM6hrEaLAXiMM66AIQFVN8UfbEADNQ+TgFNk4GsM5mo56Qp
gUPyyhpFeqaBgfNF2U0ZQ5EojCKf+EHGVzJ+s3vUkKRRGouh066j1t4MABPSKeyZ3NNptqvHvvFp
ruzgflykrbIdbecFAvIzGqF06WQjvJnsOTNvZC/o+Xf7ChF7pjCNJcREX6vzSMekSpsMvyczFDTI
utEi5itTJTeGk7RrFaDaIpTmcwGCuB3KfhUoDWCbvsJrVJzGsn9qSlCI8Wjet62KWENJzPq2JNYi
dE3ECqU+h138Yhn9vv81r6JsF1gBWYeo1OERf79cCwQAZjDa47kfl87C3AT74aY8IgZYKC/FQ+Wn
O5oZi+ACA2u3SjbG72Klf0Bt5/KzsZQsZASI1ifFSxMQcKjY3XSWzksV7DwKXW94Jp7194riH10H
0zWzWH0+jqif/Bdey54VD3I6axTxsIOy7N0LdxSzv7jO97vf7x8nnyd7IMhyh4bL9x9njW3NwkWu
nm3rorFPlUF8ivnw8+/M/NF39vFmPl2ki1RV6On8oa3FPR0bX27VN3c1t8SOOc/Y4hpD3gIe7/bu
0l1li0t5jNf3wg/8q2TfL7Z4FA/tiv/jqlzzX//+53+f/r3Z5fcPAScoE2/wBx5wsu8/hKxDD1qM
qnZmuHsZXGGxOmoP4R7DNKG5q3Gxf9I2w/KyXvdby1rmF3jWrph6rftFtvz2p/xXCzcfs/++kLzB
NHXoYvGv05dYVD9QKM8//p9yUvN+Q3ZmIQ0Gh+PBBPpQTlIZ4kQ1OMarBr1zjt3/6dBbvznIkihA
VWpHQsD+LCcN8zfO4vwYr9tsPkbz8A/UC/ye78pJC100AE7Qd/w+rAefqrwGT7RgRBCSLQRFTb+I
zegXryx9jO+u4RI95houv4iSFT4oN/X985prpepV2Thchimjsqjz1oOuJ83ayQdAnYPdrxzSAzYT
uVy+rVQ4kLTWtW70tqIL5baefcTY6okdioP62DWKiyKuM+z6aEPuGHxTdGO4UisNz5ToVRJce7Xa
plGe+w3D0c0w1NOmKUPd7zUyW5rIrH1R9iy2Nv6GQtrnxCnCDRnr6qpjp9/E4Hr1OTUmUTZFTmP9
pmim6CslrVwbWsy8nca0qvheNpo64TMZ/+RrlYl7KzJz1bjB04qVpKqH+qpFSdDE9bSeFI3ibYge
jUq7iAbqXmYC1I0eO4CsN3jEDj3S6oXTKpe0F+6t1Lhls79p0ukQFvLeJkoQkneNxiI2DyRr+aFZ
H6Io2WlhmO60BhB2ONgXhEsyM81nhlC5UWMYUirCxqkc9/hMnqokGZdZ5tBWYNDZxHay9Yro0A3q
l8hOGQxWVIBmQIahm2nveHqz1eh5MIGQcsHjhhTG2HzdDoO1IZd+uqjH6kKSUDjk6bZV4nCTZ1az
ig1Kuqny6z4+5r1l+IFhMkSBvjdNzS4A3BFZdYYEHYdxqKS7ZiKBORQaA+GBpTXKbzjFXUTGjMgb
Vft1lCRAjg3FhKrb66HiUaVY8k2zDYlBLlY5Q46hqo+9yZFBQ78FuAm0HGwo2syJdWOZIyHTg9lt
aVljUA48Hec53WB1bI+1zTAI895OpgNqxUx9N+3uTcstd4N7Kyc2O5/TnCCtXlWFS0TbYMYWGFXc
Hw6tJi9NNCag6muqRLvJVi5bzblrI2VWqNkLdwS1lbpkiWmHKXevZFGsvURfJU3gCzLOcxs+OSXs
xu1bfVUbfPAkXW6FKh9oGZXg4tG3eN7zZMsjLC3IfJSXVqaeJ36p1DAHAUqcTEhqlfKiC+0dwtuu
NKeDEcBLdO6ZpJfutHc4OK0t2IyNY5ESreF1G75I4rm71gVMlacHSx/PYUAuHuIdewHN+ykL9ScD
fdWq6bWDZ6LI680TDZuRqfIymjqYMvi5nUi5dQdxZ6aS0jIFEBOFZ1PiJ4R8QqqUjJFKpjugBtli
ktp9pUS3rpvf0YRmMtevnbD6irF9X3vKfhiohUVi7+vE22QkHEGoEpwdNaxtndlem32y5/4uLMpG
oyMJejQyfHclWnDdqJJLGOvpdlBy/amkV/Yo3BLo9TCOwR1Q2vR6CJj4DIzMfaq9hiF7G61qJU0x
46HviVqUU7VO2EbPa3GQlRVfduaMbMyYoYkl6Lr5DdMw2FGEt7jU68D9MiEJXkWWfa8IZBpS2JdB
hCA9yODS4D0QPMzGbB8g5YomWbgMdeu6VRF3GTXD/lBWjCa15IJp/U1epQiMeqZ4shLhOvXMR9u+
SfjmV3VHyK0zhwS6RmYfAyI5/GEiGza1yy9miObUrseIVw7TpWndkn+S8jmOKZTO8EBcycSRI7hK
2/JLN3jLBMGomzDVDBT1JrD5lo3qmf4ugXXJVibtV6fpT3ALk3VIHh0ypuxJTzry4p1nhrALosOZ
uKLV4BhPckrL0G+RzL2ywCJuixR6kraTWn8jnGjYVEAIk0I+SSPYMH6p8BkinwYvWDV8zWlPpoHz
AC35Hn4gvEjqUjTON0M2Hgqv37Y1NlClTx5C8Hdxzys6DEdJszjMyX9WM/u6bacT1vunIbIuS0gz
rikf+tkh0DP6cia5liYD24FuAd+GX3BunuqYxlpib8yE+LiBbLkFkXS7UEA+hUuAgtmyb7SJb01k
2FbDwrkF77ZvDRt1Taxy2o8uIHTS/YiLcxxP7bZMwgdrrJ0FLritNQOTSOlVuuFoFNx9HjkHt3O2
TRoylrWePOQswVQuKzc9MQ7Y4qWjURjkwAhIqcTbbvXxtsvw5dRd8KK26Z7PehVPJJF4urc3u/FK
kCsJk1jsE1XZNpb9HOBck2D1TMajDJ5WyPOntWCgB3MtOqvm8BWYBJIr7GuqyRlNhyILTGpTB/Vt
XrQTyJ1yK0MwADj2xwNzCnQo+qFr4mc7IDW+AUiEArmFSon+pzTN/kz3KFq4TWj4qds8kpcG5E11
T+qcdtYXdT1T7EEwkJu8RqT8GjMgn+0syiMycJ6XiZPWiMhtYZhx9jYQG73SIXBBsxz1Yw+l6OuH
+uwH7axP5wZKEI+WnW7PiBcPgs884Pg4wEgtOilQBy+T5M5O71Pvi2lt/v8uMVdaHy4x8hTbaccl
VBratnPqqhORiD+/Bl3JD9XaXEnNt2Fjd5+FG9Zs0P94DV3v4Md6cXhS4VO5oFZQcg23irL6+WXm
Q+mfGPXfL0OyCqoSzFmm8/k0FyLjMpxUhqcOM2udRBSGvIf1XWeee6ktbAG0wtp/u+Z/jxJzSf33
R4nje/FWvsY/sjnOP/ifQ4Su/0Y6hAFMgTkhszj+1R8qHxOVj47Khq6wirWG0+K/DxFMAdU5m9fz
eFboSM+nkj9lPo7FPE+lHtf/Gbjansv3D0+LpaozsJogEpdBPvGAnx5Kh93TzfVQOZHBvezamLaX
Ob0HPfqY1MrsRWeoa0tL1s04sxkxuzTXXpNDD3WkgkzWKQvnOgw9SlZPG4maElrzELixM75aioub
LGJx1HXyl5KaigjX3bQJ50QKASZwgyq7WQxN725YRAaA0IpHY0h/pAJXX8M6y5e1PlTrMmIq0yNF
pyyGnIZ7Y/ANhwha9M3NM8ppDXMOmNEpkta+L5x9kpDP2xvNjtgyRCydsun07gtJxepCgrdH90me
KuRbHwHccQxLb5E7lk+PSl66BWVMjkbEZ6xrbJoRHs8IzI/MrgE9EWMeYyTZ0w31aaEHTeVPRr/S
20GcE1EYC/Tc2ZN0rfFG0x5Af0IyVdLLuA6jFWL3KyyUBQpr7TgCQ2ZeGJ9AFL+KuMedRLvUbMkI
cqUFItUdpk0LEGJfOIoFWykedunISUVYNbsbJRAsg0FFC1C5c7VWKSdSf0cSZLxFguJ42cbmvjYB
+qSyHK4mN3E2BfkpV4NUT2UVRVsvpaKhiOCH0mmK16xDBfEhRkEubUIls20CEDOT7szRriiOVsJ1
5o5eFE1EjTFcvbG47Ab9C+FbPNjFrmgkbkhRxvvAVtxjbPYoDvGW0oPkh4ujxp54pXURfFs276iw
X8ImxypEnABJvN5TqqG8Ctrqq+qRVwaW6JAFETLfZDxlaloSopx/jSaLQjtsTxSy4zKnybQ0GxfD
apGyyEl718ja2esWkD+ZjIxliVeEBbQxOVAS1e4utcHq3IU59ro3y3h7/oBW72b3mASxdJRWpexZ
P5daaWQG05M5DLtRx5kANFjGUhdpCGYkaw/osTlx8qCdEJTZ66a26gvbLOndlpghm14nDnbqNkZE
YxQqX6tCGMR1JvY9FGgmwSGhNmbgXqZ4CJTce9MxvNhJflV2kG0V4ygqB+OBrlSXI7riHZJOjkPl
tFUsdo8cEuGtmgSB77rvLVV1nDmc/p3DGOHqhfu+qYfRt8tpzT2f3LE4WHn+jHDugk7fIY/ccBl3
VnAsXGjGqKoNiNHhTTQOIX7YbNckcpvWfElu5OyrebyioMhe6Kn7EuKyWbR2fBpkiSy4oPWvtDIn
X6Feana2o5nou3gR88Zd9GWqgR3/ajOW7rCVNpOzZoaMMhoIYKir1xVkwKhKMPCbxPEyeGIMvYha
i3CdIbtzsSTrZndnSxUBOiYI+xTAsNkH7vS1qrVr5lk7hyBYg14B5aqxVCOOF0q6TKR8iWxjg8Lf
xytGMC+4WpEW126pv3kp73CeGe9YOK5NBuyrvK6OI4d8JTXhjhvLPOmw5EF7ChnfyAmeAerg12kc
b6E/cXBMkx3OgvNUDqd8ttrBZgiGcouTgbwrLp9Z6lVeDJdjPS71adwVwSwxY1Q2KVCa0i1m+GVe
kc4thjU4toGVKH61XcS9CpN5ouvSyPHHqjxBcEAHpJYbrdVxh3ThWYeyFctwO+AqZkR/kHJcj1n8
UqMtBE4NUCP/SmGwDBptxaBzGbTZe5O9l0F3PTBnT1xkTJjJwC0/WrWzEjha6Nf6BTRLM9BPzFNv
RGuvTVgNVjhcm4N3myWTvoLVJhYlxuEcE5UXeDyBCJI5F66pOb+OdXzJCrcm+RE+sbuyXfjsoYh2
4DW3BI8+qlq7nyz3xmaS4EbieuamdPlbMVbvtUruLWQbOGvxmsyStQjGVRqaiDZGsqGjK7R/x1Ia
13qQf9UUsM0NTRESWSpV3Sqe3LoCpjNy0cQqDy1ewYa/1CEqeGFblR8oJDKp3ZpX8VJ47lozxN4I
aKIM6BErPjBAX6uy5jximvpr35WP/CpzPeBAZkKGvJ12xArY+nIs+hdRiGWBWIIglN2kOH45QvGQ
TUqeLpsEJ8d66UWIFzvbITdAPuRd8dzWRKVVDvAOx68iE3R722wL8sUwEnKGtsC9J5LpivpQNsl1
Ceo5MId1HHR8dp4f4lpwWoun09mg8rsqyuyiYh4mle4mi52tOwSnYE7WNPO9DDQwF7ELPY7A5mw8
k5Oy4wVbVL17lTTewdCGp8qmJdSATNU99y5o7CvRiFMhrOtuQMjrauKmY5glK+w9zdQtCis7ZFa4
BySKzDcLj828UE3l45i2FzrW2aoiPQp4bGL0S9HPRQ8Qlaq4a6pxr+mY9nQzOikBWNQQAOgNmoph
OentvlFVIEcYGbEBKUryhl/iLmlzZ6f3jJk9p30yLTZ1k+N9Gfo4EN7snEFUWz+mTbTj+HJivY2B
D6YbjdwqgGK8lxm8wknVniJLVGvPSG9zoHSLekg3qaGdYQIQQOGBci17Y627zjZI7WWvK7kfc6KT
4FacsCeEc9TnvE8ST4vzENqbJBjwD45vlYJLRiQvbWMtKvY/3gCQA4l0/K6jNYN2CFEyzJi2W+ao
8lcD9hepuG+SgAyOnptQOmuSGXwwq6w/Ihng9k/rIS8uxja8aFrrtmTih5KZRE9URC1ZeEqEQKbQ
SWpXgcPQXWq0kjiF9jgp/ZNoqtfObfwwIdUryDham2QT5Crb34eS9tenr28VIgJ024EBpnne5ylU
i5eL9mShnNR8GycpatZrhc7Czy/yl6kIZahBAxeemElpq89npw/nr1jJGVabmnIa3C9Nv+m7p6H8
Gho0B3/V0f5RwfvxSvNf8uFKZVCO2hRwJd1FzDX7ccB2TbvSvk+655gZ+c9v7NPZ9fdPj7cJ3zwQ
UnjZ319Od8vODbIyPEvlue0u6vC1yF5/fokf3RHVMsUyl0Hi9+kSge0MqjdW0Rl3XtJvunH0swg+
YriJUerq7S+yy39wRwSUcGhhsmDqfzmNy8IW+qi28TkuQlL+8MLP7fdf3NP3kw2mZCrf9oeLfDqP
i0BpoftwkYQpcNsc0GH94pj8q9uY//2H50C2E9ZwfK3npjraPTmaSNOc+BcX+XQW/8ttfPpqqnRW
C+QiPg8KYb/W0ovPZLWwwD1Z8dIWJ50Eg58/DD+6Laa4WEfQnFoMmL6/rTQmF6XA9nZ26itaNoin
d84/7Md8uysDkyBonllP5X766ALLIFRDNsm5EJGf2wyAUNxldz+/kR99dOTOQYk2NCJ/vE8XKfvI
ceKYJkxTPRX2IeKkiCOAqDAEqBemhAcQXP38ivMz9ekozBL35xU/fVn4FeFoaWNyVqF3S/GAdPQX
i4H2/bcz51MhTiPnm9Rbc9aAfVp8RGlinx20/JwcgMrv2DyP5dLyravo2loWfrx2l8r653f1/SV/
f5M+3tWnS0ZSBUBRyeQsbWQtYbzQyarQy+3Pr/Ljz472lsrOiVTh07dlTzCe2lxNzkHtLXXtYgap
/vwK86f/+duB8szTRh8NttOnB7sSeqyNApIhDe7F6OpUm88x4VE00H9xLz/6xD5eyfj+FeJETKy1
YydnzXqP3CsruKmnXyxvP74EqhLkHbxJzqdHLdZS6ZpTmJ6L4mR16G0Zzumd/YtN9UevEA/bH1f5
9NWnjWQuwnzxHKevmbINDMUHyGal3RLeiJJuMusX39FfbktXTWhZ6BrZijT0jd9/croXOGSfl9m5
lZu6ecaTXk/XP38M/vKgfboEvbSPy3YhQz7QqM7OPaE2+IVWY/Jvge3fymF+fIn/x955LLexZGn4
VW7MvhjlzWI6ollw9FakpE0FRFLlva+nny9pdEkRUo8GXGAiLnvRM02xACQyTx7zGw3tMRAxQrfg
7UtEw8DMkErrvE7upAnH3vA/fC/vtjKfAcIf0EuDxht497cvQOi0eiWb0nPyvLQ1XMbAIcOYzHl4
XKt/urIKh//XXdmDbNyA6hB/89KQVQxMxi0TIAbrr7Fn/27IKjbYDRqvADee1SVeGrKahX0qZuVQ
CNFNecKCvDRkAXzYMAufWZycuD9BdSA/zwb4O9YBQ0aLV9A1MDMEWoLMxdsNQs+oQIHZak7T2MQF
O0/C2ZCnqGddABycOrSancCbzLlOdA+yedzF/dygSYBjCXY6We/qY4iKWmmH5XgWAUG3aOWgh07p
ogxmCZ3ZSAJtCUg3xZRE15OwvoAfBQ9hJnlOnn2dKpNxgdW2TpXNLEjcMI8Mg34eup1lVK+tqamw
92hMprKyOwxVR8ENrb5aRnXh4JkhBxipVYg49L3+qcxJr2yUFco2R9NCjyMG8WXfHRFpR0qxMDu1
kri9VMy4/yYj+cJALAr8b51eDYsEvsAxtLt8Dq7WO40kbCXQFApWiP6D57J7bbxA9RSiZJv3J3EG
9YKSuplVXvGdSTJWxOBVqjUca2RiGl1t3cAz1IPAiJprtS9TukaZcWdPibPsgqQ/Ri4CWbkpXCaS
rl3akwyPS/Mhx7UyRn2UyCjdN410QFgfTyu5wggMUDeSdkoB569OEZklofnG19SsSk8mA1cKMM2O
E6hftanApXmaEKyL1Vb9FtOgPWrL2j8Y46j+LNA8MwVM4jmy6v5sstP2rG3jO5Y0Oyix5rhSqCQT
N5IBQOp96NCByYPTMaXc9EdG3gZix0sHUYN5NDn2KdNSY4XHISiX8VG43R/vkCxOjpExr29anP4W
tRNlbi2FKjKcSjLRr6/jxeggB64MpXmhxOgVh6VRn2uhVsyaVs6PyD5pqtTxoTcyYGIwbi9K9Pa/
93qQrOwi9Q+HPERWGA1c6ST0TBnQeQ12Ox8xy2saLGHL0c6WhQ//H6/vib5q1Qx0mh3vMKkk86Z1
pNtcDtRjVbKLM96+R2sOZHKdq0JOtJLPxikAp2v30YEfZt08R/TwRK+L8TJAMH/W1X05H8N2mPvd
5C3qsq792T+R9ZGDISjgv46swjKqyOs1kfQnxR/xdz+iK8JvsNotvDN0COzCGurHuEtGE87QCDhU
jiSKP6ZdBFfmXwrk9b+Z8C/B1dpTbGRLHCpOXFbhYfxJcOWs/RRceQUHx2pk5DSycFX5+XqvpFi1
JjU4S+VJ904CtTG+DoqMwZpRZZl/jjimcTi1pfnVDPS+WjkSgt00pOm50MCub5xAz68cJzQm2l5t
ny+0zGpua62FaIfzp4VePrMdPZRuBpXR++BPupuoauyqg3lus/NbGKBtZ15jKy+c+tZqABs2HC7N
2kaHGT1aNUnDM3WE863E5nzovFkrVYeBGWFzWQscStVhfSmP67iscJnoSYhb+Mgo3aLrMeLggX6n
vUiybtiXMsQzjNY50H0K6a73VkVqXtLfvUzB7s9izbofveF0Agwwgy68LrPyqtDUr4EN0iBnyrTI
MlRWmHZNSzt00AXpcipX3cB13jru7PqzmmJdbWbJcVohxxEgbV56aGvqNUR/HU76ftoXtltM8SW2
JJ8Q9SlOtKoT+CGQ3pWd4YabjjWaAB0c6aQO4akPSBtnfnKc5SkafMVn0ILojSswLVq5epjqaqSR
hx6PXberBMID86KVEjezwrKixSg5rq4TUGxVXbS5AAdFrEHpKb3rM5lbhRn/lw4BmIQrv8lwyrSc
+MJGyM0ukjslDq7NHH+8pon0Y8/wDpitXYQF9nOdYQWulwq0G0HM1yzNRQj2MjDNa73Cxdo3rHsz
z46mUbssRltG49uGTZZBry46wXb3h6OMAWsjw5eDI7JMQmmgydmiB4PESltmN5GJo6tJxrlQhnBu
Fs0VfDOQwT0BOZDtBZSH7rS1IZlYY814tdIPmtiEk50aw6yK24upY0BqaMFpxqRhv5RkwCBj+6ka
o28eAuErM4DviYDEwqrsW1O1P1ue76r4gyUppeEg3obcXSIauCi96SyJQxjd6sLxztmsOabl7XHi
xOfTaH4NYfYvsnhSFtUAd1x34uZARrquMdl2ihEd5yr4T1Sf9tEPupWAmu03oGNcBcEsV6pgnvTx
qVGkZ5pTHemOed7VNm3PrkIGz9IXklZ+ReYGeJYKAAzMoJkziurMsxGiPpQEnMIcbwHqBS83r75m
vvnNlIYT8pYHJgXXdWMdUMMdRx3cCjmwTCR3nBqCPt+DF6X3icLsVZ18iylq0s6KzDzjwwu+XvC5
rAwubTk9Uz3lvCTdQNb0myR5ri1IjFYQM/3Q0vMGs4zjTMMFLm2y28BkEoaLFfLgcpYcSUmLSWUw
gtOSTdO10nTde148b8bkQqm9z4mUjy6oYqZCjr5y7Ok4yZqTVmF61OpfMENeN5rCzIQX7dWLCJW/
xHMOggIJ7gTBakgU2E0jReDhCGPgdZnpdrYY4wzbHJFhKXg5GsGh0zbaUahUiDsMsVcfDp0CgWXK
kI5SNehXCF6ulMi+bdMMoYg8BRVUhiQzlKQx/l5Y4mQtaFM/apfFoKvnw6gfMjFWTgMOl8v3bpxl
oBMR16n4ghpruJ3KzL+sFCU5gpBpIPTdFjA5pWSlWIDxCmC+SEbVHsOGzmwCUKcaSEA14OXHQlYW
UgRJ/5+r+okuSd3666ua0NNuuqhl/urlosZUHZy6DCHyUSxbIEx+XNQqFQ3axNzHhk7RQ/H0Am4H
Ea/o/EqAVsCxCxbHy01t7zmAjgh8Dg9Fmsb5k5tatXiRN2WQQS9BsXXonLwFcO7i969atEPv+dj3
eviqTYU1gs/NUxLrQGu8M9V0GfsitSep8KCESlIbXI3CByhGvXWWqS0OV3CvmFqV8bx1Gn1WGziM
y72wqR3wFWoxGFKE0xByV+upxHso1YJ6VmFHRCzElwiDokgYFQnHokJ4F3HbhXNb+BmFDpp+MRc+
vhG4HfXC9ygQDkiB2Ry1whNJscLbTjEvQsySzITkOx9mWTctw7Lp92nJcTlgsATD6ibHcKkWQI1Q
eDCpwo3JEb5MIQZNTlRdmCaOTS06YqhNqOfYR3Hiha8Tmp3ZTGW0gMNJ+V3D/AkbogYPbosg89AL
d6jRKOcCpTNL0uxkUDGQyhiGI65VrPQ6w11KE33vglOv5ZKN/qoD9rIbjrQpjOYqBlWMLrhCuyMF
6ryCgRV0imWtgYvF2AptNbyYE1Rgq04M0yHy9YhrCJr3pB1nCE9NBmPa1getG1jYKiFOZQuVqiQp
VlQs8yGPrhNkrJomuygq+ShA3spLMQqujPQCCVO3FQpY8hBW2bKRkC23zeJQMdJvdJ3RqLG8YxTW
jrMuzFwddTkTeK1aXSgDwMSvcLthDNRa7mcX0tSMBeYuKF7BipU/j1MEthIG4R0qyEi1kT2Fanvn
1MGCNrTwKebXeF48oLtXuxFITIDQw6oZg1M982ykwAfsJprgey8JvVF7/EIKfN1Mw4XSKV815Ebl
fPoSQh13TQq6ueXr96E6HPayP35NAnLJsCmArWgZ0h/cdoaM4IlRXTBVX3ErS8etVV6PIR+rEFID
vm+feQN5kR1MCIhANQxwKTFi05k35iivJuu7EuX6PFSam65JgllaoDub2CrSCo62NKTwsPKm5VAo
xqxKu8qV8uDOj8uJm2acFhRRsNdGfwn+5EsI7Cfn2DDmJi+zmWoXVj2hK8O4k+L8YOiZYNuVhGK4
9LnCOh3kiALaNPpkeIE/B61moSuEqotjz1S7WjGRtVyzyQ8zQ/hDpYXblvDhISt8r4PmrEj1dVcj
t5dQJcdjdGqr8lGhBR2XvXOU9Ym1jwFoB1oWxTlB4o2argfZkuJUEuB9qjpYEMT2l8nK51AXDuTa
/6LFWnE1oQ67LwW2gFYYnywpuBoQiQLe+rkMdGTVA+dgGsojKMLFEYZvn02U/ShXriTTxDfbPpPg
aQay+VDo02maViuq4NadzHGaFUrWzjrVv+w6lPHkHJPqcFlFgTOPGfjSAhnMr3VXHwSAri89m4EF
dl4L1CePzKaO5/9cbY9Xm5gx//pqu34I1umGGlT81aurjVtNNRhR0Zh7ZC39uNq0PVIuGWiszZSM
kvLH1QbkUjcQLLd1RMuZnr12LkbnnHahJTRbGD4INOYf8LYY+vx8tTGmNRTxWpS1pvl49b262rKE
tnPC2zjrnCCuZ4jNfvINeRUJTcgWcUgF7z7XkDAY95ByHISCJLbDmBEhKtlw+N2Cfs3Cj8ZrW8rL
ZRthwpYptNhyM51HyFP6j0KV06NoJYZYrTTTkLKs7Um/HFOmxGZlesfMv03cGK2ZWaqaW1hddWJQ
j4AiVJF3spRvjVd/l722WRV9hpudkNM0c/YxjvGXI1KbuJSbF6VQ3/RjdDjRXkF1FeUWgbBE3bkF
bjE6XIcp78oeYjywWomME3XPSOh82gh+Kpk64PTYAcFrMnBnJtkh3pNohDa4Du/HQjfUU6moB6El
2jClW1kKXcuCl5/CBKAKSQSvEmKDRNd2v9KEj7rWoyDunUV5AHhDXTUVLH/sCNZNogHT8ymn8qYz
9jsP0I1Ru1AxjjpJRi3W1LARSvG2mwIFUGBbzW1o9m4VmN5ctqVPxVRfOVW1KijHDoxyOq/6GC68
6dxqpXWXV/lpCcsEpEZwyCjr3Gi8a7+Dk91jftnFzveq0A/k1jkhINYztZbg5Ge6tSyS/HPUJ4dm
Fn4ZogbClCN9H3xbwGucRZh0Xw3GA0VmlQeKHsDTyHA3ykyWBZXXYl+D0H0chty3cVmHX9UsP7fH
6CaWrRR5PkTXk8wY5riJ4MAMeR9BrPrW7Oovtjm4ua7m89gP2/3RDwMunfImRxh8kcoIFgy26c9q
ebjOhZIqkFnNDTvE2bKJ29+kinF9vT0vavyBYNFHc1BDd3rRfMaH4j5Fd37hacp9gULLAtZcc5h5
6FlJtraAmdEtzEHzXFIvED5s12Uro+sv48FU7YcK5ItC1w6AwzlLEMqRq4GkOBhAE46ROdPj+ptW
9GIc3FtzJarjWWvW3/GTAGoqj6nL2S/cIouTRQhcFRSys48AkOOWIWcEtB7VfB5MM08pXRRoAAuP
HQgd+FJcGmda561UIzsPhuzMjO0DSQoXrXqQpniRnjg8s9abqwKhTtccLVwszVvLSZH1pUfQa9E4
86JhGWOUJZfhQ501n60kkDF+xkMljwpnXlvkWbnT4JwZZYs8Lk6gBixrKf1U+y3ib/5xkxZ0NNTa
DSF2qUm30tseoCES//vVAOowUadDW06+BDU9XxMRIhNE3EFUWseqk56SXtC81kAS16Pq5rhe75tm
A/0pUBgv+0p40EbhsdqGx0pafElo9NJFr9t9U/E+6ZZx24IJo6ujLwMsYmYDgslUsjrZQybQmb4F
e6Ztlj4S0aS/aFBL2OL0pnc7eby/soA2jh8ZMkj8HZhxcE4kxmgUHHhT9VBmmj7H6hxFIdQucEhB
EnJEntVhWUGDBbeqp100vRBgDttRyMLqs7irTOCo8ncw9Ed6GB6HAfLXuFUBo83KmZyGXyZTu/bo
R7uVl2N81yDYCLPvEuosekARngBadqFKMBKVCTiq0y4bwQ0rM9ubI6R8UQUtRlrqdRfUJ3InAWsv
7MOwCqjerfQiQSJisELpMADkEBoNghHNcGiONhLFybiP55zhRiVutmbWx0wpsJef5OAEghwQSXxO
ZlKVfPcn77osfG1/VFDX10LolEMQ3VcFolc5cluy3U8zup+qm5m6fNT70rRq7GJh9QglTyWTHwQ6
5lIHPCx2/KtBC+etCkvQK44cJ8V6vKgOqeUwj1UCH2eKdFxqvQmm1MzRtEzHzynC9+jArKl0wuWg
Bi2dhe7UbNNPqtEdk0Lxpyq0zE5fCPR7l9tHgP2xV/DQHWcToalEOUXraDlayt2kFCeGT8weHG1u
ou9fKtVDE4UYomN/MfhzK+R01mNLnqt8yaF5QqSM9ynpYFRiCNsQTf0GoCmbAMA9kbvYR1nKnmF1
n0D7s66LNjyZdOMhbgiUoWYK2TvBrUSqrIEBpWg91IHaOaucieRV728S9i3EVx2Bzb4KXCELykG7
qIyOfNKa4NOO/pq7s5rnYYBwdDDmqKho5pnNCGMpWYa6rOrqcxgrV0bWJi4mRp8UkIhRjDdBJZLJ
muJsP7EKBEAHZTGp9je8NoZl5VRoZObfqgh+b2bn97U3YcBKfTTLAm06xZnOmHlFec6dB8uV3/VI
MzcOzVraXa5WSPncSdt7ZIqRIbXKey3IzqKIdpWHZiFOuN6JUpjtvu6PwcLJnQ6qcKPTxmrB5zdE
MM82TgM4mrOiQHpHCvNF3vorqr9gbhEnJfQDeym7GvMpgB4dfY2t4o7azMVRJV3SlVqSR/AdeN2V
IoDzpYDQA3A9KBpYIARxmlICaB8q0+iaklKfOZPOwCn9HgtYvp32Z4PloYENYl/W0I52wPDbUoZ0
Oqj+HlDrXCrB2fsg/mMB/S9gksmCDED794RoXsMR0LtgGYS6IVGW0IqHOueUp3mS5IG5X4Uyjh9R
WHbTXFacMvjHXF15ahH9No/+d8J2AFLw8yxHfpVHo38AclET+TIKgo8iBz/y6EftYsTmBFLPAcny
I4/W6AMxItfAdELTJv+mcfN3iwhwJ5Zq+L49i3D9QR6tPEIlXk/KaQqpaHNpJqIiAoz4U4vIB0kR
YbWYnElK+cUPaa5MbfJNGY2DROF+ijCZrFGvxVh2XwaAO2k+5svlaW9jcOX1aXmQhnBhW19yK6tV
F+TgCwxcrnr8EOe2JfyO/fFYbryZKeWM3amxQxvZ80RJsJ8E7t5JVLlxvU7Nwd9vFf3eU5kzF1LK
lAajmcHu7ukTIfIZy+OMaDM3R9JOZczYya2UUJHTuFdtGjdW6xAsQee7TZ6Niyzn5h8p92E2HbVQ
T8jOms+YxA2zGjRyLpuHYIswlMXbBOGcOgbvCakbajdays45Mlq3nYeDaGQDKg4CCfkQi8l2ZEah
O/kwvNPUx4TFO4BMs8AU3dsvyRz31X64mQL/pLGyo4K7JeAzoUBLcp2q6mUfojTk++k8ztQTT1Gv
vTFpFl3Spuj8YmPb1B1m0jG9JF3XVqkGodizi1vbqCSXcbnfYgzTlaF/BZ+h+CqX/c2ICOVRY9eI
wTT1kq48kGqQQ4PfHYRZvEwL2CZ6ixKi3o9402nkj4FnnwS+eqOVSKW2YX8mAVScx0i+zFRj8ueT
AwjexyRpKeXtpSYF90bi5Zjtgu1u4/goN9fNsC6ckTvTXNejli/bCuuGljy0ghCU3zhKkF0lMr2t
h9Cf7vshuJw0kl6rLbDHBYFu22vU9089GqVEqkxeDY2an6mV55zpTCMOGaC7utOi52SZ1B4jqsiB
HLqB7oynWjRZIWbbaQ/+yrrtMwQ0wjQ40Yb8oZzEfZj7TkkhQr9n/59+wdPU+ret8JN8I0HzVSNc
sfYIbiCxqG5BMAr5v5coRwCkUAe5iTi7KQur6x+NcJBCCiERpu0PFNFLlBNQIXBdcJYxnOHP/mxk
7bwfWTO0JsTRszAt0bR42wivJzCJrdGap+Sx0zFIELmAjoPlhD6TOCpgKCavVbt9STWDBNEVJDBh
GKZ1O2/D6JFRJScnFNtyCn/G5zV8l0RK0uHHtHoEz4TSGF7ihKfFsN83MI1u+zaVCvJYX5ewIbMk
p6BLXWG97HSoqF20EcrEzPTwcbDE6W6H7FaV4U3ROlk1Yuhci1hQCg25KqweQ2y98Fr5OiJ0VJmZ
zHPctvFyucxEdFEQ5mDeXBwVeXqUld6xQiAaa1QSUIHzGByly7Y4oDEPnUZEL7RPQjcWES0ZLBq4
Isq1It51w3SbEgAVGd1n4fQqtcRGfNtIrUS87FP7sCKAqiKShm33uRGxVSHIpqEM4Z+wW4v425ud
6ZoiJuP/2CBgOA2zuIE+I4vYPQooFe2luYzu+ywSEb4n1Ev6gMYaLewWgqabesr9MBQ5E4Yab4py
FYobA5my40jcIRgt3LQGNUtU9scoOHDXiFtn4vpB+GZRivvIiz06+ilqDcCZDgAPI4eg56eRml+W
Ze8CtzwKueICzDYZT5SMHUC+cAHqIxLyVdDNGo1JWxLPEH2T3K7wD3UvJcrZJjoqE1oCzRAxdc9j
5AktiaFrc4LvtLKIkyo6xl90iTzNbQsEAHi8Ey61UQtx3vLPB6sK6fI2rlI2h12LUkspV7d+LtLI
2DgaR+Wq8dF9H5IOvxplFWfRJTo4x6GhzWKLVoNpTuHcM8Zkv9AlD30FL3DlwTmXjdxCnEN7yBOl
XimAUVwjy08NJWuWAeI1mRZ/An98k0YlHpPlmRQgRMn8HlGLBNU7O4kWUZLe9Bbungmqj7L2RS7a
fGYxjOz65GqIDZSIBMdfUPkCG0z+WEcdG10NjooC2pzmMOAJ+v42s1ShpNDcDl5/o+j1tV4jG+NX
0zILnLOoNlwp4qIzmm9kv9l+ncFnaq2YKzlWZrmNHb3WtFdehGt4HiktdDEfoQrdX5VNedma0xeI
iF+BVoXugGE29UJYonmPBqIut5+6EJqeEuuIqZvBoSTlh7LlrDNwGmhalqqr5soV8P9FWOnXRS0v
JS0/7+WwB0msXdHGRPAskFNkc/BoC/ST0CokV4vDxRAm0JKtbJkp4zr1p2EVj/6q7Spd9MsdN5OY
IWtpki8Yy3yJMoAXKEnSPxom+8iRR3vmKHCZ5KkSmLxF2uM37qmJPkcLy9w3sblP6vEMW3poh/Tx
86o8BZXxCYpdcFilWCKZyvAQh85lpNP/MxEPhbeFQV09jd/7DhBF1zEi8nxVdwGagxupG2WZWH0O
xam9Mj3gJSbAzf1YwXolLzCML8fccPU8WMX+sDaDJps3GM/NB9NhMl6eKJJOCTlo9F8S2ntwqF0D
y95Jkr9XvX7k5+FqRCY4s5gXgSs+sLS4d4tBQTej7Bb2IKEf2oKYYXx24DfCFjUSwxA1OkFE6BAg
2hKT9SNSVDh23lGaRAdBU155AVZDg1PPsh4n6tw7M6XiurCDCPY4mAAEN8wjh7hIbIRqRwtvTq7Z
L6M4v81yhCpp9XBmmQIaHsqLvY98Sdj1N07dYJKaS5zpDOJuFsZfBq3ROI4DKERGnqmt5a4zqOki
Huml9A99hbSjZUThPBv1o8BMvwwjK6o4EAj7Rp17XX5TRZbjarV0o1JuB36D1khswc/TxEQlv3NU
HTyo/L1T2AwAJa6Lii+s19EZMRKSNsXPykWZWuddFM99Db8Dye8xzEi6U8i4l3xUuPvBGdqiYM91
FEz9TlL3p8Q6ptuu0XCTD4CFwhCmlj7Qe6TDCg+lTwfZryR8SHsmR56O/aAC4ntVx90ndF4mF9LT
BCjrEXj6/yVLegZ2z9bNev6Ir7toH6rx8qFuWceXMkn89lH39zr/v/2j3z/ouRq8hnr73/+1vocs
xPy4qcK7htLq50pRJRF5M6d5fGOP7/q3z0nW+AW297wC8spkXI5BlgStgx/yqyRHkfzp1xKKlKIA
NfRHZQpe69Ua/WoVfv8Bn5bz9//mt2/+50UQU6LtFkHT9hxbECBN+emHJ75ZBPJTDSyEChLi9V7+
3Vb4/QfcbhFebwQDOs7/4fPzAX/sAbCfYlCHCQLAe/Hz7uOTgwPhthTRaBA/u7AIG46DmPJtuROQ
gzFUgP+6YDnxA7jm7U6w91Rd03RLITg+LdUOHgqdd771UlCTQZNhOkqjSPywuG+WAlUdSjYqIr6J
HVwDSsbtAwPnnu8aLoj9tAY/bwcQXDTYgGM9+5jsXnQUeLMtz4Szh1wuLT6q8Mcfvu+fNwKEB0as
u7sI2+8EG7FZhEFUYWjw9tPLOLCrwg/9KXo+vdTubQSdm33LjUDsM5AjAX/xtBF+vieICEwUgC0+
v9buLYIgG2y3CGBUoJrBrRRKAm83gr6HgAKhAoWxx58dDYuCkLHdGmgG6RCu5yQNmzcCTTuAo6SM
Qn2b19q9jaBBfdlyEUDogiTBFOLnS4FsEVUGG9LMcxKxo2sglAm3XANasKoj5PGedrzIOt6eCU6L
4xAzjKedsqvBUeE73HIpzD3HRCAT3YfNZ4JCSjYRLCeH3tH9IDbylouA3Zr4tiGebc6XRKPf4Kak
Jb+jiyB0DbZcBHvPAL3IVw2LWPy8S5xFzf3IgdMft8quLoW8fYy0H+8BhtFEAfHzc6gkY4D9AB3x
+QDu4EXxEYUUpx4Hq5fr4N1+oJBCgpQdsas74R3f/4/7TJpJNakaTOueI8PPNwW8f5oLpkk5tauR
YftKigyRQonE4DmBJhN7c10SHlGmYQ62q1fEO2D4H28E8md4f4gwA1h5+vlpDURbQWNwb9J6FD+7
eiaEKMSWFwWcaxJIhMmePqlwMHmzHeguYJgH9wqS2E4vxfalpUVVJbhs4PF/tStYJfBH2q4eDYSg
t90P5p7J7J/q+qm3uGk/mJBJTW1nW27y9imkuWchD4jj1S/iA7UlzEj+I8S9OIC7lzLo2y+ChT6O
jEOV+XxRvGu5KUKcnEa0YH/u5CIIdf0twyMpg0HDiaLqFzGBPFpG7YS7YkcXQQhwbbkI+h5xDwgn
w5mNgVHgo9DIYtr7PMDb1aXY/rq091AMQTRK/VV4fOzImKDBnjK13YsMxkekkGhSQU77VUXFfqAX
rSBhtauRwdi+wjYZy8giP/z1wBLJVwYzxlMU2r2d8E7n548Taaa2QsTOAoH9mBxumtpiwGzZHJeX
yLGTN4W6fYVtC1M/0Xh63g8bEmkKT06F+iOI7uZSbH80mFjKJvJC5q8mlnBsUY5gfr3bzSflqe57
Eo38AbT4E2iLxnVAc17o1z4dkJ93BSqEQikVcvCON6e3vzUImNCmKSV/kUqJLILfIe/6dE3vXsDU
t48SDr1GxPv4kE9RgAvy53Ib0DijPQGC2s34sH2hzQyXDErI624+FKL9gqGpzLWyo4ugb11Z0INC
AI8RHQqzjz/vyit1j/kdEjtiyLuTO+EZarFFeAT5R6HN1/yC7+GAvT0O6p5JBYoa6q4mUc+TtC0W
gSQKVQmacPLzBPNdTFD3DBq21F+7mk4/j9i3WQRKBlPQC+Xn0eXPFyV9SGidgJx2NjA+94K2WwSZ
TIFc+VctF3XPUSAhoUyyozFBCH0SrLZbBEY00Pjfg1sY1CEpTktqZ6+F7XNnRviYA6Ce/txK2RAM
AIDRp97ZcyBvvwgQjmm5CXDPL7MkGMc4xTxbM+5eqvhc9G9zDrgWbOERATb+8Ydi5O3diI4ulpL4
yezq3SgcILYMBjbjCMa1bIWfPz2pA4IDCnC3HQ2FQkpxy09vkAerJtce5138bNgCjDFlzsFT2N29
c/B8QLc5B5RMIgxY1nO18G4RNLDBlokc/67WjcbTFt1iEQTik+qZJPH5WuCjvg0GZAYcEjrwu3oc
xCRxy+Mg4BkYmdBFeDoO70omeU8Y6nBz7Gp6JHxEtlwEB10NbCZUvP8ef97tBJmdYMOmeoaX7mBM
2L6XJFDgBhjol0n9z4sgJhBkSQ6p9I7eDkJgZcudwN3Ilwwl4hdZEouApaTFQu3qLApNhC0XgcCI
uxH7/XkA8R6vQEzg1zrl847uBCEnseVOEFekQhOZ/f748y4wKnsGNSP6EbuaKspbL4LoJRlAHPGU
+EVg1MkTMHczhZA1C757gVHIkG69E0C5C8+gp8nKpuMgDIWInH8M5/pfrNcPgrIbhMn9IzUZdcNN
DOZf/YOX1sH7378iHj/yTd/8S0FVfnrxJ2au+P//9Za5/Ph9v/rty/f/+ErPf//8Ed+/+JsXe/lc
L//jKnyo1tVdMD7+Ynx+o6frFG7zvxP+6379mi0rZLlExH753zbTrH/sg98//TfqXY/s8W0enq7v
8+rlXR7c//d/iXfOtiHD/Hsd3xPE/1fvfL9tmoeX57x6Nkdz62e762Td8ZXUL8969Xzi3/bP/52s
/rar7uYYba//cvO6ebdrWHvK4K3f/+wh+es0rzauP2F46+fPk79mecXmeXnWq/XnEt76+YsKxdRN
D6fg3vrhy+Qhy16e8+qNf8RxRaL/W57cN+8fLziBW7/1g7R4qMJ18vKov9+9GGRv//hfW+ptu+mP
HqoNay5Iglu/6yMciDcEAoWrdutnH6/jDTFMzAE+4NF1/bBpTT7igB7n9V//zvyH5GHTynzEET1Z
3xOAX9bh1Ub8iCMqHMg2Lc1HHNH/4G627UY/ecju87twU/QSnbKtt83JQ3X3cP/yoL/XXaS82z88
572/POfVsz/imP5Gn2/rNedGfagexg3v/CNO6um62LDRxfBq6wU/fejW73NHA/G/D3j4WbUmBLw8
6NXX+RFH9DxZ3z1syB1Fn3rrZTlHS3RTcieaa1s//DIkdazD+w0rI0R+tn7+1fquoiTImg0JjOB9
fsALZH/tP2Thxhf4iKN6tRYvUGXr6n5jIBPKmR/yKWbhg79plT7i1IoPseAE3IX13abX+IjjK17j
MF+X7abbSlC3PmSVjtuw/uvsW4jv0ssT/z7MYgb1Ia9ysm4eNj3/I84z69Ss/9pfV9/Wm3IGQWD4
iM/Aa7jJ5lf4mIMtPoVbtdPL2/37a9A/5GAH6401ocCibb8+9DA2Lv6HHOawjrFxbl/e56uF+ZCz
nGPxtGFziinQ9guDcPAmoyHhF779w5t1hu/xuq1fHvZqaT7k6Io2y4Z7WCBZt373v/Vg2jZruybH
D5sNSZsYpm7/1lsiwYYrXiCLPuDhNIjSTar6AhWy9eNveEK76awKZs/WT/+SJxuOkkBybP/o9tuG
TFmMP/7Doze1ZX/07983a1+EDTf92dtetPgXd8nDuvrX/wAAAP//</cx:binary>
              </cx:geoCache>
            </cx:geography>
          </cx:layoutPr>
          <cx:valueColors>
            <cx:minColor>
              <a:schemeClr val="accent6">
                <a:lumMod val="40000"/>
                <a:lumOff val="60000"/>
              </a:schemeClr>
            </cx:minColor>
            <cx:maxColor>
              <a:schemeClr val="accent3">
                <a:lumMod val="75000"/>
              </a:schemeClr>
            </cx:maxColor>
          </cx:valueColors>
        </cx:series>
      </cx:plotAreaRegion>
    </cx:plotArea>
  </cx:chart>
  <cx:spPr>
    <a:solidFill>
      <a:schemeClr val="bg1">
        <a:lumMod val="85000"/>
      </a:schemeClr>
    </a:solid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3.xml"/><Relationship Id="rId7" Type="http://schemas.openxmlformats.org/officeDocument/2006/relationships/chart" Target="../charts/chart5.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2.xml"/><Relationship Id="rId5" Type="http://schemas.microsoft.com/office/2014/relationships/chartEx" Target="../charts/chartEx1.xml"/><Relationship Id="rId10" Type="http://schemas.openxmlformats.org/officeDocument/2006/relationships/image" Target="../media/image2.png"/><Relationship Id="rId4" Type="http://schemas.openxmlformats.org/officeDocument/2006/relationships/chart" Target="../charts/chart4.xml"/><Relationship Id="rId9"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3</xdr:col>
      <xdr:colOff>3810</xdr:colOff>
      <xdr:row>0</xdr:row>
      <xdr:rowOff>0</xdr:rowOff>
    </xdr:from>
    <xdr:to>
      <xdr:col>23</xdr:col>
      <xdr:colOff>535304</xdr:colOff>
      <xdr:row>39</xdr:row>
      <xdr:rowOff>182880</xdr:rowOff>
    </xdr:to>
    <xdr:sp macro="" textlink="">
      <xdr:nvSpPr>
        <xdr:cNvPr id="3" name="Rectangle 2">
          <a:extLst>
            <a:ext uri="{FF2B5EF4-FFF2-40B4-BE49-F238E27FC236}">
              <a16:creationId xmlns:a16="http://schemas.microsoft.com/office/drawing/2014/main" id="{DFA1C0E8-70D9-4AA2-8125-39AD99CA0401}"/>
            </a:ext>
          </a:extLst>
        </xdr:cNvPr>
        <xdr:cNvSpPr/>
      </xdr:nvSpPr>
      <xdr:spPr>
        <a:xfrm>
          <a:off x="1642110" y="0"/>
          <a:ext cx="12723494" cy="7612380"/>
        </a:xfrm>
        <a:prstGeom prst="rect">
          <a:avLst/>
        </a:prstGeom>
        <a:solidFill>
          <a:schemeClr val="accent3">
            <a:lumMod val="20000"/>
            <a:lumOff val="80000"/>
          </a:schemeClr>
        </a:solidFill>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solidFill>
                <a:srgbClr val="FF0000"/>
              </a:solidFill>
            </a:ln>
            <a:gradFill>
              <a:gsLst>
                <a:gs pos="0">
                  <a:schemeClr val="tx1">
                    <a:lumMod val="50000"/>
                    <a:lumOff val="50000"/>
                  </a:schemeClr>
                </a:gs>
                <a:gs pos="100000">
                  <a:schemeClr val="bg1">
                    <a:lumMod val="65000"/>
                  </a:schemeClr>
                </a:gs>
              </a:gsLst>
              <a:lin ang="0" scaled="0"/>
            </a:gradFill>
          </a:endParaRPr>
        </a:p>
      </xdr:txBody>
    </xdr:sp>
    <xdr:clientData/>
  </xdr:twoCellAnchor>
  <xdr:twoCellAnchor>
    <xdr:from>
      <xdr:col>0</xdr:col>
      <xdr:colOff>0</xdr:colOff>
      <xdr:row>0</xdr:row>
      <xdr:rowOff>0</xdr:rowOff>
    </xdr:from>
    <xdr:to>
      <xdr:col>3</xdr:col>
      <xdr:colOff>0</xdr:colOff>
      <xdr:row>39</xdr:row>
      <xdr:rowOff>137160</xdr:rowOff>
    </xdr:to>
    <xdr:sp macro="" textlink="">
      <xdr:nvSpPr>
        <xdr:cNvPr id="2" name="Rectangle 1">
          <a:extLst>
            <a:ext uri="{FF2B5EF4-FFF2-40B4-BE49-F238E27FC236}">
              <a16:creationId xmlns:a16="http://schemas.microsoft.com/office/drawing/2014/main" id="{7C1D8878-F55D-A787-C940-41B11B5F061D}"/>
            </a:ext>
          </a:extLst>
        </xdr:cNvPr>
        <xdr:cNvSpPr/>
      </xdr:nvSpPr>
      <xdr:spPr>
        <a:xfrm>
          <a:off x="0" y="0"/>
          <a:ext cx="1638300" cy="7566660"/>
        </a:xfrm>
        <a:prstGeom prst="rect">
          <a:avLst/>
        </a:prstGeom>
        <a:solidFill>
          <a:schemeClr val="accent3">
            <a:lumMod val="75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291465</xdr:colOff>
      <xdr:row>2</xdr:row>
      <xdr:rowOff>188595</xdr:rowOff>
    </xdr:from>
    <xdr:to>
      <xdr:col>2</xdr:col>
      <xdr:colOff>148590</xdr:colOff>
      <xdr:row>5</xdr:row>
      <xdr:rowOff>116205</xdr:rowOff>
    </xdr:to>
    <xdr:sp macro="" textlink="Pivot!G3">
      <xdr:nvSpPr>
        <xdr:cNvPr id="4" name="Rectangle 3">
          <a:extLst>
            <a:ext uri="{FF2B5EF4-FFF2-40B4-BE49-F238E27FC236}">
              <a16:creationId xmlns:a16="http://schemas.microsoft.com/office/drawing/2014/main" id="{A700E15F-8EC4-8CCC-8EE5-404261B40D74}"/>
            </a:ext>
          </a:extLst>
        </xdr:cNvPr>
        <xdr:cNvSpPr/>
      </xdr:nvSpPr>
      <xdr:spPr>
        <a:xfrm>
          <a:off x="542925" y="569595"/>
          <a:ext cx="1045845" cy="499110"/>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fld id="{E40ED1EE-A3CE-4BC4-9745-BCA403A0FF75}" type="TxLink">
            <a:rPr lang="en-US" sz="1800" b="1" i="0" u="none" strike="noStrike">
              <a:gradFill>
                <a:gsLst>
                  <a:gs pos="0">
                    <a:schemeClr val="tx1">
                      <a:lumMod val="50000"/>
                      <a:lumOff val="50000"/>
                    </a:schemeClr>
                  </a:gs>
                  <a:gs pos="100000">
                    <a:schemeClr val="bg1">
                      <a:lumMod val="65000"/>
                    </a:schemeClr>
                  </a:gs>
                </a:gsLst>
                <a:lin ang="0" scaled="0"/>
              </a:gradFill>
              <a:effectLst>
                <a:outerShdw blurRad="50800" dist="38100" dir="16200000" rotWithShape="0">
                  <a:prstClr val="black">
                    <a:alpha val="40000"/>
                  </a:prstClr>
                </a:outerShdw>
              </a:effectLst>
              <a:latin typeface="Amasis MT Pro Black" panose="02040A04050005020304" pitchFamily="18" charset="0"/>
            </a:rPr>
            <a:pPr algn="l"/>
            <a:t>2,400</a:t>
          </a:fld>
          <a:endParaRPr lang="en-US" sz="1800" b="1">
            <a:gradFill>
              <a:gsLst>
                <a:gs pos="0">
                  <a:schemeClr val="tx1">
                    <a:lumMod val="50000"/>
                    <a:lumOff val="50000"/>
                  </a:schemeClr>
                </a:gs>
                <a:gs pos="100000">
                  <a:schemeClr val="bg1">
                    <a:lumMod val="65000"/>
                  </a:schemeClr>
                </a:gs>
              </a:gsLst>
              <a:lin ang="0" scaled="0"/>
            </a:gradFill>
            <a:effectLst>
              <a:outerShdw blurRad="50800" dist="38100" dir="16200000" rotWithShape="0">
                <a:prstClr val="black">
                  <a:alpha val="40000"/>
                </a:prstClr>
              </a:outerShdw>
            </a:effectLst>
            <a:latin typeface="Amasis MT Pro Black" panose="02040A04050005020304" pitchFamily="18" charset="0"/>
          </a:endParaRPr>
        </a:p>
      </xdr:txBody>
    </xdr:sp>
    <xdr:clientData/>
  </xdr:twoCellAnchor>
  <xdr:twoCellAnchor>
    <xdr:from>
      <xdr:col>1</xdr:col>
      <xdr:colOff>272415</xdr:colOff>
      <xdr:row>6</xdr:row>
      <xdr:rowOff>161449</xdr:rowOff>
    </xdr:from>
    <xdr:to>
      <xdr:col>2</xdr:col>
      <xdr:colOff>148590</xdr:colOff>
      <xdr:row>9</xdr:row>
      <xdr:rowOff>123349</xdr:rowOff>
    </xdr:to>
    <xdr:sp macro="" textlink="Pivot!H3">
      <xdr:nvSpPr>
        <xdr:cNvPr id="6" name="Rectangle 5">
          <a:extLst>
            <a:ext uri="{FF2B5EF4-FFF2-40B4-BE49-F238E27FC236}">
              <a16:creationId xmlns:a16="http://schemas.microsoft.com/office/drawing/2014/main" id="{1EA786D7-AFA3-4558-BF14-998353438301}"/>
            </a:ext>
          </a:extLst>
        </xdr:cNvPr>
        <xdr:cNvSpPr/>
      </xdr:nvSpPr>
      <xdr:spPr>
        <a:xfrm>
          <a:off x="523875" y="1304449"/>
          <a:ext cx="1064895" cy="533400"/>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fld id="{475A9462-7A1E-480C-85B8-A7ED868B86DD}" type="TxLink">
            <a:rPr lang="en-US" sz="1800" b="1" i="0" u="none" strike="noStrike">
              <a:gradFill>
                <a:gsLst>
                  <a:gs pos="0">
                    <a:schemeClr val="tx1">
                      <a:lumMod val="50000"/>
                      <a:lumOff val="50000"/>
                    </a:schemeClr>
                  </a:gs>
                  <a:gs pos="100000">
                    <a:schemeClr val="bg1">
                      <a:lumMod val="65000"/>
                    </a:schemeClr>
                  </a:gs>
                </a:gsLst>
                <a:lin ang="0" scaled="0"/>
              </a:gradFill>
              <a:effectLst>
                <a:outerShdw blurRad="50800" dist="38100" dir="16200000" rotWithShape="0">
                  <a:prstClr val="black">
                    <a:alpha val="40000"/>
                  </a:prstClr>
                </a:outerShdw>
              </a:effectLst>
              <a:latin typeface="Amasis MT Pro Black" panose="02040A04050005020304" pitchFamily="18" charset="0"/>
              <a:ea typeface="+mn-ea"/>
              <a:cs typeface="+mn-cs"/>
            </a:rPr>
            <a:pPr marL="0" indent="0" algn="l"/>
            <a:t>11,997</a:t>
          </a:fld>
          <a:endParaRPr lang="en-US" sz="1800" b="1" i="0" u="none" strike="noStrike">
            <a:gradFill>
              <a:gsLst>
                <a:gs pos="0">
                  <a:schemeClr val="tx1">
                    <a:lumMod val="50000"/>
                    <a:lumOff val="50000"/>
                  </a:schemeClr>
                </a:gs>
                <a:gs pos="100000">
                  <a:schemeClr val="bg1">
                    <a:lumMod val="65000"/>
                  </a:schemeClr>
                </a:gs>
              </a:gsLst>
              <a:lin ang="0" scaled="0"/>
            </a:gradFill>
            <a:effectLst>
              <a:outerShdw blurRad="50800" dist="38100" dir="16200000" rotWithShape="0">
                <a:prstClr val="black">
                  <a:alpha val="40000"/>
                </a:prstClr>
              </a:outerShdw>
            </a:effectLst>
            <a:latin typeface="Amasis MT Pro Black" panose="02040A04050005020304" pitchFamily="18" charset="0"/>
            <a:ea typeface="+mn-ea"/>
            <a:cs typeface="+mn-cs"/>
          </a:endParaRPr>
        </a:p>
      </xdr:txBody>
    </xdr:sp>
    <xdr:clientData/>
  </xdr:twoCellAnchor>
  <xdr:twoCellAnchor>
    <xdr:from>
      <xdr:col>1</xdr:col>
      <xdr:colOff>71279</xdr:colOff>
      <xdr:row>10</xdr:row>
      <xdr:rowOff>168593</xdr:rowOff>
    </xdr:from>
    <xdr:to>
      <xdr:col>2</xdr:col>
      <xdr:colOff>148590</xdr:colOff>
      <xdr:row>13</xdr:row>
      <xdr:rowOff>92393</xdr:rowOff>
    </xdr:to>
    <xdr:sp macro="" textlink="Pivot!I3">
      <xdr:nvSpPr>
        <xdr:cNvPr id="7" name="Rectangle 6">
          <a:extLst>
            <a:ext uri="{FF2B5EF4-FFF2-40B4-BE49-F238E27FC236}">
              <a16:creationId xmlns:a16="http://schemas.microsoft.com/office/drawing/2014/main" id="{6644E83C-163E-4247-A841-D68F58BD69E7}"/>
            </a:ext>
          </a:extLst>
        </xdr:cNvPr>
        <xdr:cNvSpPr/>
      </xdr:nvSpPr>
      <xdr:spPr>
        <a:xfrm>
          <a:off x="322739" y="2073593"/>
          <a:ext cx="1266031" cy="495300"/>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fld id="{B332CCAF-E9EF-443C-84DC-BB5455B06779}" type="TxLink">
            <a:rPr lang="en-US" sz="1800" b="1" i="0" u="none" strike="noStrike">
              <a:gradFill>
                <a:gsLst>
                  <a:gs pos="0">
                    <a:schemeClr val="tx1">
                      <a:lumMod val="50000"/>
                      <a:lumOff val="50000"/>
                    </a:schemeClr>
                  </a:gs>
                  <a:gs pos="100000">
                    <a:schemeClr val="bg1">
                      <a:lumMod val="65000"/>
                    </a:schemeClr>
                  </a:gs>
                </a:gsLst>
                <a:lin ang="0" scaled="0"/>
              </a:gradFill>
              <a:effectLst>
                <a:outerShdw blurRad="50800" dist="38100" dir="16200000" rotWithShape="0">
                  <a:prstClr val="black">
                    <a:alpha val="40000"/>
                  </a:prstClr>
                </a:outerShdw>
              </a:effectLst>
              <a:latin typeface="Amasis MT Pro Black" panose="02040A04050005020304" pitchFamily="18" charset="0"/>
              <a:ea typeface="+mn-ea"/>
              <a:cs typeface="+mn-cs"/>
            </a:rPr>
            <a:pPr marL="0" indent="0" algn="l"/>
            <a:t>$649.02K</a:t>
          </a:fld>
          <a:endParaRPr lang="en-US" sz="1800" b="1" i="0" u="none" strike="noStrike">
            <a:gradFill>
              <a:gsLst>
                <a:gs pos="0">
                  <a:schemeClr val="tx1">
                    <a:lumMod val="50000"/>
                    <a:lumOff val="50000"/>
                  </a:schemeClr>
                </a:gs>
                <a:gs pos="100000">
                  <a:schemeClr val="bg1">
                    <a:lumMod val="65000"/>
                  </a:schemeClr>
                </a:gs>
              </a:gsLst>
              <a:lin ang="0" scaled="0"/>
            </a:gradFill>
            <a:effectLst>
              <a:outerShdw blurRad="50800" dist="38100" dir="16200000" rotWithShape="0">
                <a:prstClr val="black">
                  <a:alpha val="40000"/>
                </a:prstClr>
              </a:outerShdw>
            </a:effectLst>
            <a:latin typeface="Amasis MT Pro Black" panose="02040A04050005020304" pitchFamily="18" charset="0"/>
            <a:ea typeface="+mn-ea"/>
            <a:cs typeface="+mn-cs"/>
          </a:endParaRPr>
        </a:p>
      </xdr:txBody>
    </xdr:sp>
    <xdr:clientData/>
  </xdr:twoCellAnchor>
  <xdr:twoCellAnchor>
    <xdr:from>
      <xdr:col>1</xdr:col>
      <xdr:colOff>274320</xdr:colOff>
      <xdr:row>18</xdr:row>
      <xdr:rowOff>104775</xdr:rowOff>
    </xdr:from>
    <xdr:to>
      <xdr:col>2</xdr:col>
      <xdr:colOff>148590</xdr:colOff>
      <xdr:row>21</xdr:row>
      <xdr:rowOff>66675</xdr:rowOff>
    </xdr:to>
    <xdr:sp macro="" textlink="Pivot!K3">
      <xdr:nvSpPr>
        <xdr:cNvPr id="8" name="Rectangle 7">
          <a:extLst>
            <a:ext uri="{FF2B5EF4-FFF2-40B4-BE49-F238E27FC236}">
              <a16:creationId xmlns:a16="http://schemas.microsoft.com/office/drawing/2014/main" id="{93C6AFD6-B3B7-4E54-87E7-FEB5C309CFBF}"/>
            </a:ext>
          </a:extLst>
        </xdr:cNvPr>
        <xdr:cNvSpPr/>
      </xdr:nvSpPr>
      <xdr:spPr>
        <a:xfrm>
          <a:off x="525780" y="3533775"/>
          <a:ext cx="1062990" cy="533400"/>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fld id="{36B68B0A-2772-49E1-A44F-B47AE7ADB9CF}" type="TxLink">
            <a:rPr lang="en-US" sz="1800" b="1" i="0" u="none" strike="noStrike">
              <a:gradFill>
                <a:gsLst>
                  <a:gs pos="0">
                    <a:schemeClr val="tx1">
                      <a:lumMod val="50000"/>
                      <a:lumOff val="50000"/>
                    </a:schemeClr>
                  </a:gs>
                  <a:gs pos="100000">
                    <a:schemeClr val="bg1">
                      <a:lumMod val="65000"/>
                    </a:schemeClr>
                  </a:gs>
                </a:gsLst>
                <a:lin ang="0" scaled="0"/>
              </a:gradFill>
              <a:effectLst>
                <a:outerShdw blurRad="50800" dist="38100" dir="16200000" rotWithShape="0">
                  <a:prstClr val="black">
                    <a:alpha val="40000"/>
                  </a:prstClr>
                </a:outerShdw>
              </a:effectLst>
              <a:latin typeface="Amasis MT Pro Black" panose="02040A04050005020304" pitchFamily="18" charset="0"/>
              <a:ea typeface="+mn-ea"/>
              <a:cs typeface="+mn-cs"/>
            </a:rPr>
            <a:pPr marL="0" indent="0" algn="l"/>
            <a:t>2.34</a:t>
          </a:fld>
          <a:endParaRPr lang="en-US" sz="1800" b="1" i="0" u="none" strike="noStrike">
            <a:gradFill>
              <a:gsLst>
                <a:gs pos="0">
                  <a:schemeClr val="tx1">
                    <a:lumMod val="50000"/>
                    <a:lumOff val="50000"/>
                  </a:schemeClr>
                </a:gs>
                <a:gs pos="100000">
                  <a:schemeClr val="bg1">
                    <a:lumMod val="65000"/>
                  </a:schemeClr>
                </a:gs>
              </a:gsLst>
              <a:lin ang="0" scaled="0"/>
            </a:gradFill>
            <a:effectLst>
              <a:outerShdw blurRad="50800" dist="38100" dir="16200000" rotWithShape="0">
                <a:prstClr val="black">
                  <a:alpha val="40000"/>
                </a:prstClr>
              </a:outerShdw>
            </a:effectLst>
            <a:latin typeface="Amasis MT Pro Black" panose="02040A04050005020304" pitchFamily="18" charset="0"/>
            <a:ea typeface="+mn-ea"/>
            <a:cs typeface="+mn-cs"/>
          </a:endParaRPr>
        </a:p>
      </xdr:txBody>
    </xdr:sp>
    <xdr:clientData/>
  </xdr:twoCellAnchor>
  <xdr:twoCellAnchor>
    <xdr:from>
      <xdr:col>1</xdr:col>
      <xdr:colOff>272415</xdr:colOff>
      <xdr:row>14</xdr:row>
      <xdr:rowOff>137637</xdr:rowOff>
    </xdr:from>
    <xdr:to>
      <xdr:col>2</xdr:col>
      <xdr:colOff>148590</xdr:colOff>
      <xdr:row>17</xdr:row>
      <xdr:rowOff>61437</xdr:rowOff>
    </xdr:to>
    <xdr:sp macro="" textlink="Pivot!J3">
      <xdr:nvSpPr>
        <xdr:cNvPr id="9" name="Rectangle 8">
          <a:extLst>
            <a:ext uri="{FF2B5EF4-FFF2-40B4-BE49-F238E27FC236}">
              <a16:creationId xmlns:a16="http://schemas.microsoft.com/office/drawing/2014/main" id="{0E740296-707B-4903-AD8B-45E9AC1D10E0}"/>
            </a:ext>
          </a:extLst>
        </xdr:cNvPr>
        <xdr:cNvSpPr/>
      </xdr:nvSpPr>
      <xdr:spPr>
        <a:xfrm>
          <a:off x="523875" y="2804637"/>
          <a:ext cx="1064895" cy="495300"/>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fld id="{2412C1CA-246E-4C73-A723-A03B17697943}" type="TxLink">
            <a:rPr lang="en-US" sz="1800" b="1" i="0" u="none" strike="noStrike">
              <a:gradFill>
                <a:gsLst>
                  <a:gs pos="0">
                    <a:schemeClr val="tx1">
                      <a:lumMod val="50000"/>
                      <a:lumOff val="50000"/>
                    </a:schemeClr>
                  </a:gs>
                  <a:gs pos="100000">
                    <a:schemeClr val="bg1">
                      <a:lumMod val="65000"/>
                    </a:schemeClr>
                  </a:gs>
                </a:gsLst>
                <a:lin ang="0" scaled="0"/>
              </a:gradFill>
              <a:effectLst>
                <a:outerShdw blurRad="50800" dist="38100" dir="16200000" rotWithShape="0">
                  <a:prstClr val="black">
                    <a:alpha val="40000"/>
                  </a:prstClr>
                </a:outerShdw>
              </a:effectLst>
              <a:latin typeface="Amasis MT Pro Black" panose="02040A04050005020304" pitchFamily="18" charset="0"/>
              <a:ea typeface="+mn-ea"/>
              <a:cs typeface="+mn-cs"/>
            </a:rPr>
            <a:pPr marL="0" indent="0" algn="l"/>
            <a:t>3.96</a:t>
          </a:fld>
          <a:endParaRPr lang="en-US" sz="1800" b="1" i="0" u="none" strike="noStrike">
            <a:gradFill>
              <a:gsLst>
                <a:gs pos="0">
                  <a:schemeClr val="tx1">
                    <a:lumMod val="50000"/>
                    <a:lumOff val="50000"/>
                  </a:schemeClr>
                </a:gs>
                <a:gs pos="100000">
                  <a:schemeClr val="bg1">
                    <a:lumMod val="65000"/>
                  </a:schemeClr>
                </a:gs>
              </a:gsLst>
              <a:lin ang="0" scaled="0"/>
            </a:gradFill>
            <a:effectLst>
              <a:outerShdw blurRad="50800" dist="38100" dir="16200000" rotWithShape="0">
                <a:prstClr val="black">
                  <a:alpha val="40000"/>
                </a:prstClr>
              </a:outerShdw>
            </a:effectLst>
            <a:latin typeface="Amasis MT Pro Black" panose="02040A04050005020304" pitchFamily="18" charset="0"/>
            <a:ea typeface="+mn-ea"/>
            <a:cs typeface="+mn-cs"/>
          </a:endParaRPr>
        </a:p>
      </xdr:txBody>
    </xdr:sp>
    <xdr:clientData/>
  </xdr:twoCellAnchor>
  <xdr:twoCellAnchor>
    <xdr:from>
      <xdr:col>0</xdr:col>
      <xdr:colOff>35084</xdr:colOff>
      <xdr:row>1</xdr:row>
      <xdr:rowOff>182880</xdr:rowOff>
    </xdr:from>
    <xdr:to>
      <xdr:col>1</xdr:col>
      <xdr:colOff>869474</xdr:colOff>
      <xdr:row>3</xdr:row>
      <xdr:rowOff>110490</xdr:rowOff>
    </xdr:to>
    <xdr:sp macro="" textlink="">
      <xdr:nvSpPr>
        <xdr:cNvPr id="10" name="Rectangle 9">
          <a:extLst>
            <a:ext uri="{FF2B5EF4-FFF2-40B4-BE49-F238E27FC236}">
              <a16:creationId xmlns:a16="http://schemas.microsoft.com/office/drawing/2014/main" id="{9CE09599-4B4D-C1D8-D4B4-2B0CF37E3A0B}"/>
            </a:ext>
          </a:extLst>
        </xdr:cNvPr>
        <xdr:cNvSpPr/>
      </xdr:nvSpPr>
      <xdr:spPr>
        <a:xfrm>
          <a:off x="35084" y="373380"/>
          <a:ext cx="1085850" cy="30861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🛒Orders</a:t>
          </a:r>
        </a:p>
      </xdr:txBody>
    </xdr:sp>
    <xdr:clientData/>
  </xdr:twoCellAnchor>
  <xdr:twoCellAnchor>
    <xdr:from>
      <xdr:col>0</xdr:col>
      <xdr:colOff>43339</xdr:colOff>
      <xdr:row>5</xdr:row>
      <xdr:rowOff>118110</xdr:rowOff>
    </xdr:from>
    <xdr:to>
      <xdr:col>1</xdr:col>
      <xdr:colOff>877729</xdr:colOff>
      <xdr:row>7</xdr:row>
      <xdr:rowOff>78105</xdr:rowOff>
    </xdr:to>
    <xdr:sp macro="" textlink="">
      <xdr:nvSpPr>
        <xdr:cNvPr id="11" name="Rectangle 10">
          <a:extLst>
            <a:ext uri="{FF2B5EF4-FFF2-40B4-BE49-F238E27FC236}">
              <a16:creationId xmlns:a16="http://schemas.microsoft.com/office/drawing/2014/main" id="{93D8DE91-31DB-4524-946D-CCD35FE6B47B}"/>
            </a:ext>
          </a:extLst>
        </xdr:cNvPr>
        <xdr:cNvSpPr/>
      </xdr:nvSpPr>
      <xdr:spPr>
        <a:xfrm>
          <a:off x="43339" y="1070610"/>
          <a:ext cx="1085850" cy="34099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👗Quantity</a:t>
          </a:r>
        </a:p>
      </xdr:txBody>
    </xdr:sp>
    <xdr:clientData/>
  </xdr:twoCellAnchor>
  <xdr:twoCellAnchor>
    <xdr:from>
      <xdr:col>0</xdr:col>
      <xdr:colOff>51594</xdr:colOff>
      <xdr:row>9</xdr:row>
      <xdr:rowOff>116205</xdr:rowOff>
    </xdr:from>
    <xdr:to>
      <xdr:col>1</xdr:col>
      <xdr:colOff>887889</xdr:colOff>
      <xdr:row>11</xdr:row>
      <xdr:rowOff>76200</xdr:rowOff>
    </xdr:to>
    <xdr:sp macro="" textlink="">
      <xdr:nvSpPr>
        <xdr:cNvPr id="12" name="Rectangle 11">
          <a:extLst>
            <a:ext uri="{FF2B5EF4-FFF2-40B4-BE49-F238E27FC236}">
              <a16:creationId xmlns:a16="http://schemas.microsoft.com/office/drawing/2014/main" id="{CE852CC9-5397-4D4E-AFC2-56B1A891AB2D}"/>
            </a:ext>
          </a:extLst>
        </xdr:cNvPr>
        <xdr:cNvSpPr/>
      </xdr:nvSpPr>
      <xdr:spPr>
        <a:xfrm>
          <a:off x="51594" y="1830705"/>
          <a:ext cx="1087755" cy="34099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💰Amount</a:t>
          </a:r>
        </a:p>
      </xdr:txBody>
    </xdr:sp>
    <xdr:clientData/>
  </xdr:twoCellAnchor>
  <xdr:twoCellAnchor>
    <xdr:from>
      <xdr:col>0</xdr:col>
      <xdr:colOff>61754</xdr:colOff>
      <xdr:row>13</xdr:row>
      <xdr:rowOff>80010</xdr:rowOff>
    </xdr:from>
    <xdr:to>
      <xdr:col>1</xdr:col>
      <xdr:colOff>898049</xdr:colOff>
      <xdr:row>15</xdr:row>
      <xdr:rowOff>40005</xdr:rowOff>
    </xdr:to>
    <xdr:sp macro="" textlink="">
      <xdr:nvSpPr>
        <xdr:cNvPr id="13" name="Rectangle 12">
          <a:extLst>
            <a:ext uri="{FF2B5EF4-FFF2-40B4-BE49-F238E27FC236}">
              <a16:creationId xmlns:a16="http://schemas.microsoft.com/office/drawing/2014/main" id="{D36A66BA-8BB8-4BA7-A1E3-308FB5336850}"/>
            </a:ext>
          </a:extLst>
        </xdr:cNvPr>
        <xdr:cNvSpPr/>
      </xdr:nvSpPr>
      <xdr:spPr>
        <a:xfrm>
          <a:off x="61754" y="2556510"/>
          <a:ext cx="1087755" cy="34099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⭐Avg.</a:t>
          </a:r>
          <a:r>
            <a:rPr lang="en-US" sz="1100" baseline="0"/>
            <a:t> Rating</a:t>
          </a:r>
          <a:endParaRPr lang="en-US" sz="1100"/>
        </a:p>
      </xdr:txBody>
    </xdr:sp>
    <xdr:clientData/>
  </xdr:twoCellAnchor>
  <xdr:twoCellAnchor>
    <xdr:from>
      <xdr:col>0</xdr:col>
      <xdr:colOff>71914</xdr:colOff>
      <xdr:row>17</xdr:row>
      <xdr:rowOff>43815</xdr:rowOff>
    </xdr:from>
    <xdr:to>
      <xdr:col>1</xdr:col>
      <xdr:colOff>1060609</xdr:colOff>
      <xdr:row>18</xdr:row>
      <xdr:rowOff>167640</xdr:rowOff>
    </xdr:to>
    <xdr:sp macro="" textlink="">
      <xdr:nvSpPr>
        <xdr:cNvPr id="14" name="Rectangle 13">
          <a:extLst>
            <a:ext uri="{FF2B5EF4-FFF2-40B4-BE49-F238E27FC236}">
              <a16:creationId xmlns:a16="http://schemas.microsoft.com/office/drawing/2014/main" id="{80E372E4-5E7F-42C3-A905-9E3C2803F5D1}"/>
            </a:ext>
          </a:extLst>
        </xdr:cNvPr>
        <xdr:cNvSpPr/>
      </xdr:nvSpPr>
      <xdr:spPr>
        <a:xfrm>
          <a:off x="71914" y="3282315"/>
          <a:ext cx="1240155" cy="3143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📆Days</a:t>
          </a:r>
          <a:r>
            <a:rPr lang="en-US" sz="1100" baseline="0"/>
            <a:t> to Deliver</a:t>
          </a:r>
          <a:endParaRPr lang="en-US" sz="1100"/>
        </a:p>
      </xdr:txBody>
    </xdr:sp>
    <xdr:clientData/>
  </xdr:twoCellAnchor>
  <xdr:twoCellAnchor>
    <xdr:from>
      <xdr:col>3</xdr:col>
      <xdr:colOff>131445</xdr:colOff>
      <xdr:row>3</xdr:row>
      <xdr:rowOff>163830</xdr:rowOff>
    </xdr:from>
    <xdr:to>
      <xdr:col>9</xdr:col>
      <xdr:colOff>148590</xdr:colOff>
      <xdr:row>17</xdr:row>
      <xdr:rowOff>26670</xdr:rowOff>
    </xdr:to>
    <xdr:graphicFrame macro="">
      <xdr:nvGraphicFramePr>
        <xdr:cNvPr id="15" name="Chart 14">
          <a:extLst>
            <a:ext uri="{FF2B5EF4-FFF2-40B4-BE49-F238E27FC236}">
              <a16:creationId xmlns:a16="http://schemas.microsoft.com/office/drawing/2014/main" id="{4777B30F-8590-4A7A-9CB6-2EC443B140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220980</xdr:colOff>
      <xdr:row>3</xdr:row>
      <xdr:rowOff>180974</xdr:rowOff>
    </xdr:from>
    <xdr:to>
      <xdr:col>16</xdr:col>
      <xdr:colOff>327660</xdr:colOff>
      <xdr:row>17</xdr:row>
      <xdr:rowOff>0</xdr:rowOff>
    </xdr:to>
    <xdr:sp macro="" textlink="">
      <xdr:nvSpPr>
        <xdr:cNvPr id="20" name="Rectangle 19">
          <a:extLst>
            <a:ext uri="{FF2B5EF4-FFF2-40B4-BE49-F238E27FC236}">
              <a16:creationId xmlns:a16="http://schemas.microsoft.com/office/drawing/2014/main" id="{822AFEBE-90D4-89A3-1B1F-92FF34308878}"/>
            </a:ext>
          </a:extLst>
        </xdr:cNvPr>
        <xdr:cNvSpPr/>
      </xdr:nvSpPr>
      <xdr:spPr>
        <a:xfrm>
          <a:off x="5516880" y="752474"/>
          <a:ext cx="4373880" cy="2486026"/>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600" b="1"/>
            <a:t>How they like to buy?</a:t>
          </a:r>
        </a:p>
      </xdr:txBody>
    </xdr:sp>
    <xdr:clientData/>
  </xdr:twoCellAnchor>
  <xdr:twoCellAnchor>
    <xdr:from>
      <xdr:col>16</xdr:col>
      <xdr:colOff>459105</xdr:colOff>
      <xdr:row>3</xdr:row>
      <xdr:rowOff>175258</xdr:rowOff>
    </xdr:from>
    <xdr:to>
      <xdr:col>22</xdr:col>
      <xdr:colOff>358140</xdr:colOff>
      <xdr:row>16</xdr:row>
      <xdr:rowOff>179069</xdr:rowOff>
    </xdr:to>
    <xdr:graphicFrame macro="">
      <xdr:nvGraphicFramePr>
        <xdr:cNvPr id="24" name="Chart 23">
          <a:extLst>
            <a:ext uri="{FF2B5EF4-FFF2-40B4-BE49-F238E27FC236}">
              <a16:creationId xmlns:a16="http://schemas.microsoft.com/office/drawing/2014/main" id="{54C4EE8E-A6AE-42F7-A01C-CF4C1F9B39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83821</xdr:colOff>
      <xdr:row>17</xdr:row>
      <xdr:rowOff>83819</xdr:rowOff>
    </xdr:from>
    <xdr:to>
      <xdr:col>10</xdr:col>
      <xdr:colOff>462916</xdr:colOff>
      <xdr:row>39</xdr:row>
      <xdr:rowOff>22860</xdr:rowOff>
    </xdr:to>
    <xdr:graphicFrame macro="">
      <xdr:nvGraphicFramePr>
        <xdr:cNvPr id="25" name="Chart 24">
          <a:extLst>
            <a:ext uri="{FF2B5EF4-FFF2-40B4-BE49-F238E27FC236}">
              <a16:creationId xmlns:a16="http://schemas.microsoft.com/office/drawing/2014/main" id="{29F8C576-52FD-40C6-B217-E306A89795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200025</xdr:colOff>
      <xdr:row>29</xdr:row>
      <xdr:rowOff>179068</xdr:rowOff>
    </xdr:from>
    <xdr:to>
      <xdr:col>10</xdr:col>
      <xdr:colOff>426720</xdr:colOff>
      <xdr:row>38</xdr:row>
      <xdr:rowOff>179069</xdr:rowOff>
    </xdr:to>
    <xdr:graphicFrame macro="">
      <xdr:nvGraphicFramePr>
        <xdr:cNvPr id="26" name="Chart 25">
          <a:extLst>
            <a:ext uri="{FF2B5EF4-FFF2-40B4-BE49-F238E27FC236}">
              <a16:creationId xmlns:a16="http://schemas.microsoft.com/office/drawing/2014/main" id="{36F643B5-68D6-43E0-98CD-0CC2ECC3EF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605788</xdr:colOff>
      <xdr:row>17</xdr:row>
      <xdr:rowOff>70485</xdr:rowOff>
    </xdr:from>
    <xdr:to>
      <xdr:col>16</xdr:col>
      <xdr:colOff>342900</xdr:colOff>
      <xdr:row>38</xdr:row>
      <xdr:rowOff>160020</xdr:rowOff>
    </xdr:to>
    <mc:AlternateContent xmlns:mc="http://schemas.openxmlformats.org/markup-compatibility/2006">
      <mc:Choice xmlns:cx4="http://schemas.microsoft.com/office/drawing/2016/5/10/chartex" Requires="cx4">
        <xdr:graphicFrame macro="">
          <xdr:nvGraphicFramePr>
            <xdr:cNvPr id="28" name="Chart 27">
              <a:extLst>
                <a:ext uri="{FF2B5EF4-FFF2-40B4-BE49-F238E27FC236}">
                  <a16:creationId xmlns:a16="http://schemas.microsoft.com/office/drawing/2014/main" id="{07BD9226-6424-4774-93A8-A3FFE18DED8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6511288" y="3310890"/>
              <a:ext cx="3394712" cy="408622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487680</xdr:colOff>
      <xdr:row>23</xdr:row>
      <xdr:rowOff>13335</xdr:rowOff>
    </xdr:from>
    <xdr:to>
      <xdr:col>16</xdr:col>
      <xdr:colOff>209550</xdr:colOff>
      <xdr:row>31</xdr:row>
      <xdr:rowOff>97156</xdr:rowOff>
    </xdr:to>
    <mc:AlternateContent xmlns:mc="http://schemas.openxmlformats.org/markup-compatibility/2006">
      <mc:Choice xmlns:cx4="http://schemas.microsoft.com/office/drawing/2016/5/10/chartex" Requires="cx4">
        <xdr:graphicFrame macro="">
          <xdr:nvGraphicFramePr>
            <xdr:cNvPr id="27" name="Chart 26">
              <a:extLst>
                <a:ext uri="{FF2B5EF4-FFF2-40B4-BE49-F238E27FC236}">
                  <a16:creationId xmlns:a16="http://schemas.microsoft.com/office/drawing/2014/main" id="{9255D094-46C6-4694-8431-9E682987F36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8833485" y="4392930"/>
              <a:ext cx="942975" cy="1613536"/>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461010</xdr:colOff>
      <xdr:row>17</xdr:row>
      <xdr:rowOff>43815</xdr:rowOff>
    </xdr:from>
    <xdr:to>
      <xdr:col>22</xdr:col>
      <xdr:colOff>373380</xdr:colOff>
      <xdr:row>27</xdr:row>
      <xdr:rowOff>41910</xdr:rowOff>
    </xdr:to>
    <xdr:graphicFrame macro="">
      <xdr:nvGraphicFramePr>
        <xdr:cNvPr id="30" name="Chart 29">
          <a:extLst>
            <a:ext uri="{FF2B5EF4-FFF2-40B4-BE49-F238E27FC236}">
              <a16:creationId xmlns:a16="http://schemas.microsoft.com/office/drawing/2014/main" id="{3AD150B9-4FA3-435F-B46A-05D612106C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502920</xdr:colOff>
      <xdr:row>27</xdr:row>
      <xdr:rowOff>144778</xdr:rowOff>
    </xdr:from>
    <xdr:to>
      <xdr:col>22</xdr:col>
      <xdr:colOff>396240</xdr:colOff>
      <xdr:row>38</xdr:row>
      <xdr:rowOff>180975</xdr:rowOff>
    </xdr:to>
    <xdr:graphicFrame macro="">
      <xdr:nvGraphicFramePr>
        <xdr:cNvPr id="31" name="Chart 30">
          <a:extLst>
            <a:ext uri="{FF2B5EF4-FFF2-40B4-BE49-F238E27FC236}">
              <a16:creationId xmlns:a16="http://schemas.microsoft.com/office/drawing/2014/main" id="{CD338761-0FA5-4D13-A15B-EE987E1D03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30480</xdr:colOff>
      <xdr:row>20</xdr:row>
      <xdr:rowOff>140970</xdr:rowOff>
    </xdr:from>
    <xdr:to>
      <xdr:col>2</xdr:col>
      <xdr:colOff>148590</xdr:colOff>
      <xdr:row>28</xdr:row>
      <xdr:rowOff>156210</xdr:rowOff>
    </xdr:to>
    <mc:AlternateContent xmlns:mc="http://schemas.openxmlformats.org/markup-compatibility/2006">
      <mc:Choice xmlns:a14="http://schemas.microsoft.com/office/drawing/2010/main" Requires="a14">
        <xdr:graphicFrame macro="">
          <xdr:nvGraphicFramePr>
            <xdr:cNvPr id="32" name="Gender">
              <a:extLst>
                <a:ext uri="{FF2B5EF4-FFF2-40B4-BE49-F238E27FC236}">
                  <a16:creationId xmlns:a16="http://schemas.microsoft.com/office/drawing/2014/main" id="{AE33B89D-3256-404E-BB77-7EC38EE75480}"/>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32385" y="3952875"/>
              <a:ext cx="1556385" cy="15373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0</xdr:col>
      <xdr:colOff>34290</xdr:colOff>
      <xdr:row>29</xdr:row>
      <xdr:rowOff>9526</xdr:rowOff>
    </xdr:from>
    <xdr:to>
      <xdr:col>2</xdr:col>
      <xdr:colOff>118109</xdr:colOff>
      <xdr:row>39</xdr:row>
      <xdr:rowOff>3811</xdr:rowOff>
    </xdr:to>
    <mc:AlternateContent xmlns:mc="http://schemas.openxmlformats.org/markup-compatibility/2006">
      <mc:Choice xmlns:a14="http://schemas.microsoft.com/office/drawing/2010/main" Requires="a14">
        <xdr:graphicFrame macro="">
          <xdr:nvGraphicFramePr>
            <xdr:cNvPr id="33" name="Order Mode">
              <a:extLst>
                <a:ext uri="{FF2B5EF4-FFF2-40B4-BE49-F238E27FC236}">
                  <a16:creationId xmlns:a16="http://schemas.microsoft.com/office/drawing/2014/main" id="{C9D4765A-9AFA-492F-B0FB-B9FAF30FDC45}"/>
                </a:ext>
              </a:extLst>
            </xdr:cNvPr>
            <xdr:cNvGraphicFramePr/>
          </xdr:nvGraphicFramePr>
          <xdr:xfrm>
            <a:off x="0" y="0"/>
            <a:ext cx="0" cy="0"/>
          </xdr:xfrm>
          <a:graphic>
            <a:graphicData uri="http://schemas.microsoft.com/office/drawing/2010/slicer">
              <sle:slicer xmlns:sle="http://schemas.microsoft.com/office/drawing/2010/slicer" name="Order Mode"/>
            </a:graphicData>
          </a:graphic>
        </xdr:graphicFrame>
      </mc:Choice>
      <mc:Fallback>
        <xdr:sp macro="" textlink="">
          <xdr:nvSpPr>
            <xdr:cNvPr id="0" name=""/>
            <xdr:cNvSpPr>
              <a:spLocks noTextEdit="1"/>
            </xdr:cNvSpPr>
          </xdr:nvSpPr>
          <xdr:spPr>
            <a:xfrm>
              <a:off x="34290" y="5532121"/>
              <a:ext cx="1523999" cy="190119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9</xdr:col>
      <xdr:colOff>314325</xdr:colOff>
      <xdr:row>7</xdr:row>
      <xdr:rowOff>100965</xdr:rowOff>
    </xdr:from>
    <xdr:to>
      <xdr:col>16</xdr:col>
      <xdr:colOff>232410</xdr:colOff>
      <xdr:row>15</xdr:row>
      <xdr:rowOff>186690</xdr:rowOff>
    </xdr:to>
    <xdr:pic>
      <xdr:nvPicPr>
        <xdr:cNvPr id="38" name="Picture 37">
          <a:extLst>
            <a:ext uri="{FF2B5EF4-FFF2-40B4-BE49-F238E27FC236}">
              <a16:creationId xmlns:a16="http://schemas.microsoft.com/office/drawing/2014/main" id="{3394EC1A-CE5F-8FEB-AAD9-618B4DFE5054}"/>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5610225" y="1434465"/>
          <a:ext cx="4192905" cy="15982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260984</xdr:colOff>
      <xdr:row>0</xdr:row>
      <xdr:rowOff>59055</xdr:rowOff>
    </xdr:from>
    <xdr:to>
      <xdr:col>4</xdr:col>
      <xdr:colOff>337185</xdr:colOff>
      <xdr:row>3</xdr:row>
      <xdr:rowOff>187330</xdr:rowOff>
    </xdr:to>
    <xdr:pic>
      <xdr:nvPicPr>
        <xdr:cNvPr id="42" name="Picture 41">
          <a:extLst>
            <a:ext uri="{FF2B5EF4-FFF2-40B4-BE49-F238E27FC236}">
              <a16:creationId xmlns:a16="http://schemas.microsoft.com/office/drawing/2014/main" id="{F4F96989-D1CF-2082-46D2-557D812334DD}"/>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1899284" y="59055"/>
          <a:ext cx="685801" cy="699775"/>
        </a:xfrm>
        <a:prstGeom prst="rect">
          <a:avLst/>
        </a:prstGeom>
      </xdr:spPr>
    </xdr:pic>
    <xdr:clientData/>
  </xdr:twoCellAnchor>
  <xdr:twoCellAnchor>
    <xdr:from>
      <xdr:col>9</xdr:col>
      <xdr:colOff>148591</xdr:colOff>
      <xdr:row>0</xdr:row>
      <xdr:rowOff>85725</xdr:rowOff>
    </xdr:from>
    <xdr:to>
      <xdr:col>17</xdr:col>
      <xdr:colOff>30480</xdr:colOff>
      <xdr:row>3</xdr:row>
      <xdr:rowOff>121920</xdr:rowOff>
    </xdr:to>
    <xdr:sp macro="" textlink="">
      <xdr:nvSpPr>
        <xdr:cNvPr id="44" name="TextBox 43">
          <a:extLst>
            <a:ext uri="{FF2B5EF4-FFF2-40B4-BE49-F238E27FC236}">
              <a16:creationId xmlns:a16="http://schemas.microsoft.com/office/drawing/2014/main" id="{FA7B9838-DB55-F045-B91A-4E84561C14B7}"/>
            </a:ext>
          </a:extLst>
        </xdr:cNvPr>
        <xdr:cNvSpPr txBox="1"/>
      </xdr:nvSpPr>
      <xdr:spPr>
        <a:xfrm>
          <a:off x="5444491" y="85725"/>
          <a:ext cx="4758689" cy="6076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b="1"/>
            <a:t>E-Commerce Dashboard</a:t>
          </a: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ripa M" refreshedDate="46317.893937731482" backgroundQuery="1" createdVersion="8" refreshedVersion="8" minRefreshableVersion="3" recordCount="2400" xr:uid="{8306FF49-D2A9-4B18-8BC9-96DF0B5E04E4}">
  <cacheSource type="external" connectionId="1"/>
  <cacheFields count="18">
    <cacheField name="TX ID" numFmtId="0">
      <sharedItems count="2400">
        <s v="TX500001"/>
        <s v="TX500002"/>
        <s v="TX500003"/>
        <s v="TX500004"/>
        <s v="TX500005"/>
        <s v="TX500006"/>
        <s v="TX500007"/>
        <s v="TX500008"/>
        <s v="TX500009"/>
        <s v="TX500010"/>
        <s v="TX500011"/>
        <s v="TX500012"/>
        <s v="TX500013"/>
        <s v="TX500014"/>
        <s v="TX500015"/>
        <s v="TX500016"/>
        <s v="TX500017"/>
        <s v="TX500018"/>
        <s v="TX500019"/>
        <s v="TX500020"/>
        <s v="TX500021"/>
        <s v="TX500022"/>
        <s v="TX500023"/>
        <s v="TX500024"/>
        <s v="TX500025"/>
        <s v="TX500026"/>
        <s v="TX500027"/>
        <s v="TX500028"/>
        <s v="TX500029"/>
        <s v="TX500030"/>
        <s v="TX500031"/>
        <s v="TX500032"/>
        <s v="TX500033"/>
        <s v="TX500034"/>
        <s v="TX500035"/>
        <s v="TX500036"/>
        <s v="TX500037"/>
        <s v="TX500038"/>
        <s v="TX500039"/>
        <s v="TX500040"/>
        <s v="TX500041"/>
        <s v="TX500042"/>
        <s v="TX500043"/>
        <s v="TX500044"/>
        <s v="TX500045"/>
        <s v="TX500046"/>
        <s v="TX500047"/>
        <s v="TX500048"/>
        <s v="TX500049"/>
        <s v="TX500050"/>
        <s v="TX500051"/>
        <s v="TX500052"/>
        <s v="TX500053"/>
        <s v="TX500054"/>
        <s v="TX500055"/>
        <s v="TX500056"/>
        <s v="TX500057"/>
        <s v="TX500058"/>
        <s v="TX500059"/>
        <s v="TX500060"/>
        <s v="TX500061"/>
        <s v="TX500062"/>
        <s v="TX500063"/>
        <s v="TX500064"/>
        <s v="TX500065"/>
        <s v="TX500066"/>
        <s v="TX500067"/>
        <s v="TX500068"/>
        <s v="TX500069"/>
        <s v="TX500070"/>
        <s v="TX500071"/>
        <s v="TX500072"/>
        <s v="TX500073"/>
        <s v="TX500074"/>
        <s v="TX500075"/>
        <s v="TX500076"/>
        <s v="TX500077"/>
        <s v="TX500078"/>
        <s v="TX500079"/>
        <s v="TX500080"/>
        <s v="TX500081"/>
        <s v="TX500082"/>
        <s v="TX500083"/>
        <s v="TX500084"/>
        <s v="TX500085"/>
        <s v="TX500086"/>
        <s v="TX500087"/>
        <s v="TX500088"/>
        <s v="TX500089"/>
        <s v="TX500090"/>
        <s v="TX500091"/>
        <s v="TX500092"/>
        <s v="TX500093"/>
        <s v="TX500094"/>
        <s v="TX500095"/>
        <s v="TX500096"/>
        <s v="TX500097"/>
        <s v="TX500098"/>
        <s v="TX500099"/>
        <s v="TX500100"/>
        <s v="TX500101"/>
        <s v="TX500102"/>
        <s v="TX500103"/>
        <s v="TX500104"/>
        <s v="TX500105"/>
        <s v="TX500106"/>
        <s v="TX500107"/>
        <s v="TX500108"/>
        <s v="TX500109"/>
        <s v="TX500110"/>
        <s v="TX500111"/>
        <s v="TX500112"/>
        <s v="TX500113"/>
        <s v="TX500114"/>
        <s v="TX500115"/>
        <s v="TX500116"/>
        <s v="TX500117"/>
        <s v="TX500118"/>
        <s v="TX500119"/>
        <s v="TX500120"/>
        <s v="TX500121"/>
        <s v="TX500122"/>
        <s v="TX500123"/>
        <s v="TX500124"/>
        <s v="TX500125"/>
        <s v="TX500126"/>
        <s v="TX500127"/>
        <s v="TX500128"/>
        <s v="TX500129"/>
        <s v="TX500130"/>
        <s v="TX500131"/>
        <s v="TX500132"/>
        <s v="TX500133"/>
        <s v="TX500134"/>
        <s v="TX500135"/>
        <s v="TX500136"/>
        <s v="TX500137"/>
        <s v="TX500138"/>
        <s v="TX500139"/>
        <s v="TX500140"/>
        <s v="TX500141"/>
        <s v="TX500142"/>
        <s v="TX500143"/>
        <s v="TX500144"/>
        <s v="TX500145"/>
        <s v="TX500146"/>
        <s v="TX500147"/>
        <s v="TX500148"/>
        <s v="TX500149"/>
        <s v="TX500150"/>
        <s v="TX500151"/>
        <s v="TX500152"/>
        <s v="TX500153"/>
        <s v="TX500154"/>
        <s v="TX500155"/>
        <s v="TX500156"/>
        <s v="TX500157"/>
        <s v="TX500158"/>
        <s v="TX500159"/>
        <s v="TX500160"/>
        <s v="TX500161"/>
        <s v="TX500162"/>
        <s v="TX500163"/>
        <s v="TX500164"/>
        <s v="TX500165"/>
        <s v="TX500166"/>
        <s v="TX500167"/>
        <s v="TX500168"/>
        <s v="TX500169"/>
        <s v="TX500170"/>
        <s v="TX500171"/>
        <s v="TX500172"/>
        <s v="TX500173"/>
        <s v="TX500174"/>
        <s v="TX500175"/>
        <s v="TX500176"/>
        <s v="TX500177"/>
        <s v="TX500178"/>
        <s v="TX500179"/>
        <s v="TX500180"/>
        <s v="TX500181"/>
        <s v="TX500182"/>
        <s v="TX500183"/>
        <s v="TX500184"/>
        <s v="TX500185"/>
        <s v="TX500186"/>
        <s v="TX500187"/>
        <s v="TX500188"/>
        <s v="TX500189"/>
        <s v="TX500190"/>
        <s v="TX500191"/>
        <s v="TX500192"/>
        <s v="TX500193"/>
        <s v="TX500194"/>
        <s v="TX500195"/>
        <s v="TX500196"/>
        <s v="TX500197"/>
        <s v="TX500198"/>
        <s v="TX500199"/>
        <s v="TX500200"/>
        <s v="TX500201"/>
        <s v="TX500202"/>
        <s v="TX500203"/>
        <s v="TX500204"/>
        <s v="TX500205"/>
        <s v="TX500206"/>
        <s v="TX500207"/>
        <s v="TX500208"/>
        <s v="TX500209"/>
        <s v="TX500210"/>
        <s v="TX500211"/>
        <s v="TX500212"/>
        <s v="TX500213"/>
        <s v="TX500214"/>
        <s v="TX500215"/>
        <s v="TX500216"/>
        <s v="TX500217"/>
        <s v="TX500218"/>
        <s v="TX500219"/>
        <s v="TX500220"/>
        <s v="TX500221"/>
        <s v="TX500222"/>
        <s v="TX500223"/>
        <s v="TX500224"/>
        <s v="TX500225"/>
        <s v="TX500226"/>
        <s v="TX500227"/>
        <s v="TX500228"/>
        <s v="TX500229"/>
        <s v="TX500230"/>
        <s v="TX500231"/>
        <s v="TX500232"/>
        <s v="TX500233"/>
        <s v="TX500234"/>
        <s v="TX500235"/>
        <s v="TX500236"/>
        <s v="TX500237"/>
        <s v="TX500238"/>
        <s v="TX500239"/>
        <s v="TX500240"/>
        <s v="TX500241"/>
        <s v="TX500242"/>
        <s v="TX500243"/>
        <s v="TX500244"/>
        <s v="TX500245"/>
        <s v="TX500246"/>
        <s v="TX500247"/>
        <s v="TX500248"/>
        <s v="TX500249"/>
        <s v="TX500250"/>
        <s v="TX500251"/>
        <s v="TX500252"/>
        <s v="TX500253"/>
        <s v="TX500254"/>
        <s v="TX500255"/>
        <s v="TX500256"/>
        <s v="TX500257"/>
        <s v="TX500258"/>
        <s v="TX500259"/>
        <s v="TX500260"/>
        <s v="TX500261"/>
        <s v="TX500262"/>
        <s v="TX500263"/>
        <s v="TX500264"/>
        <s v="TX500265"/>
        <s v="TX500266"/>
        <s v="TX500267"/>
        <s v="TX500268"/>
        <s v="TX500269"/>
        <s v="TX500270"/>
        <s v="TX500271"/>
        <s v="TX500272"/>
        <s v="TX500273"/>
        <s v="TX500274"/>
        <s v="TX500275"/>
        <s v="TX500276"/>
        <s v="TX500277"/>
        <s v="TX500278"/>
        <s v="TX500279"/>
        <s v="TX500280"/>
        <s v="TX500281"/>
        <s v="TX500282"/>
        <s v="TX500283"/>
        <s v="TX500284"/>
        <s v="TX500285"/>
        <s v="TX500286"/>
        <s v="TX500287"/>
        <s v="TX500288"/>
        <s v="TX500289"/>
        <s v="TX500290"/>
        <s v="TX500291"/>
        <s v="TX500292"/>
        <s v="TX500293"/>
        <s v="TX500294"/>
        <s v="TX500295"/>
        <s v="TX500296"/>
        <s v="TX500297"/>
        <s v="TX500298"/>
        <s v="TX500299"/>
        <s v="TX500300"/>
        <s v="TX500301"/>
        <s v="TX500302"/>
        <s v="TX500303"/>
        <s v="TX500304"/>
        <s v="TX500305"/>
        <s v="TX500306"/>
        <s v="TX500307"/>
        <s v="TX500308"/>
        <s v="TX500309"/>
        <s v="TX500310"/>
        <s v="TX500311"/>
        <s v="TX500312"/>
        <s v="TX500313"/>
        <s v="TX500314"/>
        <s v="TX500315"/>
        <s v="TX500316"/>
        <s v="TX500317"/>
        <s v="TX500318"/>
        <s v="TX500319"/>
        <s v="TX500320"/>
        <s v="TX500321"/>
        <s v="TX500322"/>
        <s v="TX500323"/>
        <s v="TX500324"/>
        <s v="TX500325"/>
        <s v="TX500326"/>
        <s v="TX500327"/>
        <s v="TX500328"/>
        <s v="TX500329"/>
        <s v="TX500330"/>
        <s v="TX500331"/>
        <s v="TX500332"/>
        <s v="TX500333"/>
        <s v="TX500334"/>
        <s v="TX500335"/>
        <s v="TX500336"/>
        <s v="TX500337"/>
        <s v="TX500338"/>
        <s v="TX500339"/>
        <s v="TX500340"/>
        <s v="TX500341"/>
        <s v="TX500342"/>
        <s v="TX500343"/>
        <s v="TX500344"/>
        <s v="TX500345"/>
        <s v="TX500346"/>
        <s v="TX500347"/>
        <s v="TX500348"/>
        <s v="TX500349"/>
        <s v="TX500350"/>
        <s v="TX500351"/>
        <s v="TX500352"/>
        <s v="TX500353"/>
        <s v="TX500354"/>
        <s v="TX500355"/>
        <s v="TX500356"/>
        <s v="TX500357"/>
        <s v="TX500358"/>
        <s v="TX500359"/>
        <s v="TX500360"/>
        <s v="TX500361"/>
        <s v="TX500362"/>
        <s v="TX500363"/>
        <s v="TX500364"/>
        <s v="TX500365"/>
        <s v="TX500366"/>
        <s v="TX500367"/>
        <s v="TX500368"/>
        <s v="TX500369"/>
        <s v="TX500370"/>
        <s v="TX500371"/>
        <s v="TX500372"/>
        <s v="TX500373"/>
        <s v="TX500374"/>
        <s v="TX500375"/>
        <s v="TX500376"/>
        <s v="TX500377"/>
        <s v="TX500378"/>
        <s v="TX500379"/>
        <s v="TX500380"/>
        <s v="TX500381"/>
        <s v="TX500382"/>
        <s v="TX500383"/>
        <s v="TX500384"/>
        <s v="TX500385"/>
        <s v="TX500386"/>
        <s v="TX500387"/>
        <s v="TX500388"/>
        <s v="TX500389"/>
        <s v="TX500390"/>
        <s v="TX500391"/>
        <s v="TX500392"/>
        <s v="TX500393"/>
        <s v="TX500394"/>
        <s v="TX500395"/>
        <s v="TX500396"/>
        <s v="TX500397"/>
        <s v="TX500398"/>
        <s v="TX500399"/>
        <s v="TX500400"/>
        <s v="TX500401"/>
        <s v="TX500402"/>
        <s v="TX500403"/>
        <s v="TX500404"/>
        <s v="TX500405"/>
        <s v="TX500406"/>
        <s v="TX500407"/>
        <s v="TX500408"/>
        <s v="TX500409"/>
        <s v="TX500410"/>
        <s v="TX500411"/>
        <s v="TX500412"/>
        <s v="TX500413"/>
        <s v="TX500414"/>
        <s v="TX500415"/>
        <s v="TX500416"/>
        <s v="TX500417"/>
        <s v="TX500418"/>
        <s v="TX500419"/>
        <s v="TX500420"/>
        <s v="TX500421"/>
        <s v="TX500422"/>
        <s v="TX500423"/>
        <s v="TX500424"/>
        <s v="TX500425"/>
        <s v="TX500426"/>
        <s v="TX500427"/>
        <s v="TX500428"/>
        <s v="TX500429"/>
        <s v="TX500430"/>
        <s v="TX500431"/>
        <s v="TX500432"/>
        <s v="TX500433"/>
        <s v="TX500434"/>
        <s v="TX500435"/>
        <s v="TX500436"/>
        <s v="TX500437"/>
        <s v="TX500438"/>
        <s v="TX500439"/>
        <s v="TX500440"/>
        <s v="TX500441"/>
        <s v="TX500442"/>
        <s v="TX500443"/>
        <s v="TX500444"/>
        <s v="TX500445"/>
        <s v="TX500446"/>
        <s v="TX500447"/>
        <s v="TX500448"/>
        <s v="TX500449"/>
        <s v="TX500450"/>
        <s v="TX500451"/>
        <s v="TX500452"/>
        <s v="TX500453"/>
        <s v="TX500454"/>
        <s v="TX500455"/>
        <s v="TX500456"/>
        <s v="TX500457"/>
        <s v="TX500458"/>
        <s v="TX500459"/>
        <s v="TX500460"/>
        <s v="TX500461"/>
        <s v="TX500462"/>
        <s v="TX500463"/>
        <s v="TX500464"/>
        <s v="TX500465"/>
        <s v="TX500466"/>
        <s v="TX500467"/>
        <s v="TX500468"/>
        <s v="TX500469"/>
        <s v="TX500470"/>
        <s v="TX500471"/>
        <s v="TX500472"/>
        <s v="TX500473"/>
        <s v="TX500474"/>
        <s v="TX500475"/>
        <s v="TX500476"/>
        <s v="TX500477"/>
        <s v="TX500478"/>
        <s v="TX500479"/>
        <s v="TX500480"/>
        <s v="TX500481"/>
        <s v="TX500482"/>
        <s v="TX500483"/>
        <s v="TX500484"/>
        <s v="TX500485"/>
        <s v="TX500486"/>
        <s v="TX500487"/>
        <s v="TX500488"/>
        <s v="TX500489"/>
        <s v="TX500490"/>
        <s v="TX500491"/>
        <s v="TX500492"/>
        <s v="TX500493"/>
        <s v="TX500494"/>
        <s v="TX500495"/>
        <s v="TX500496"/>
        <s v="TX500497"/>
        <s v="TX500498"/>
        <s v="TX500499"/>
        <s v="TX500500"/>
        <s v="TX500501"/>
        <s v="TX500502"/>
        <s v="TX500503"/>
        <s v="TX500504"/>
        <s v="TX500505"/>
        <s v="TX500506"/>
        <s v="TX500507"/>
        <s v="TX500508"/>
        <s v="TX500509"/>
        <s v="TX500510"/>
        <s v="TX500511"/>
        <s v="TX500512"/>
        <s v="TX500513"/>
        <s v="TX500514"/>
        <s v="TX500515"/>
        <s v="TX500516"/>
        <s v="TX500517"/>
        <s v="TX500518"/>
        <s v="TX500519"/>
        <s v="TX500520"/>
        <s v="TX500521"/>
        <s v="TX500522"/>
        <s v="TX500523"/>
        <s v="TX500524"/>
        <s v="TX500525"/>
        <s v="TX500526"/>
        <s v="TX500527"/>
        <s v="TX500528"/>
        <s v="TX500529"/>
        <s v="TX500530"/>
        <s v="TX500531"/>
        <s v="TX500532"/>
        <s v="TX500533"/>
        <s v="TX500534"/>
        <s v="TX500535"/>
        <s v="TX500536"/>
        <s v="TX500537"/>
        <s v="TX500538"/>
        <s v="TX500539"/>
        <s v="TX500540"/>
        <s v="TX500541"/>
        <s v="TX500542"/>
        <s v="TX500543"/>
        <s v="TX500544"/>
        <s v="TX500545"/>
        <s v="TX500546"/>
        <s v="TX500547"/>
        <s v="TX500548"/>
        <s v="TX500549"/>
        <s v="TX500550"/>
        <s v="TX500551"/>
        <s v="TX500552"/>
        <s v="TX500553"/>
        <s v="TX500554"/>
        <s v="TX500555"/>
        <s v="TX500556"/>
        <s v="TX500557"/>
        <s v="TX500558"/>
        <s v="TX500559"/>
        <s v="TX500560"/>
        <s v="TX500561"/>
        <s v="TX500562"/>
        <s v="TX500563"/>
        <s v="TX500564"/>
        <s v="TX500565"/>
        <s v="TX500566"/>
        <s v="TX500567"/>
        <s v="TX500568"/>
        <s v="TX500569"/>
        <s v="TX500570"/>
        <s v="TX500571"/>
        <s v="TX500572"/>
        <s v="TX500573"/>
        <s v="TX500574"/>
        <s v="TX500575"/>
        <s v="TX500576"/>
        <s v="TX500577"/>
        <s v="TX500578"/>
        <s v="TX500579"/>
        <s v="TX500580"/>
        <s v="TX500581"/>
        <s v="TX500582"/>
        <s v="TX500583"/>
        <s v="TX500584"/>
        <s v="TX500585"/>
        <s v="TX500586"/>
        <s v="TX500587"/>
        <s v="TX500588"/>
        <s v="TX500589"/>
        <s v="TX500590"/>
        <s v="TX500591"/>
        <s v="TX500592"/>
        <s v="TX500593"/>
        <s v="TX500594"/>
        <s v="TX500595"/>
        <s v="TX500596"/>
        <s v="TX500597"/>
        <s v="TX500598"/>
        <s v="TX500599"/>
        <s v="TX500600"/>
        <s v="TX500601"/>
        <s v="TX500602"/>
        <s v="TX500603"/>
        <s v="TX500604"/>
        <s v="TX500605"/>
        <s v="TX500606"/>
        <s v="TX500607"/>
        <s v="TX500608"/>
        <s v="TX500609"/>
        <s v="TX500610"/>
        <s v="TX500611"/>
        <s v="TX500612"/>
        <s v="TX500613"/>
        <s v="TX500614"/>
        <s v="TX500615"/>
        <s v="TX500616"/>
        <s v="TX500617"/>
        <s v="TX500618"/>
        <s v="TX500619"/>
        <s v="TX500620"/>
        <s v="TX500621"/>
        <s v="TX500622"/>
        <s v="TX500623"/>
        <s v="TX500624"/>
        <s v="TX500625"/>
        <s v="TX500626"/>
        <s v="TX500627"/>
        <s v="TX500628"/>
        <s v="TX500629"/>
        <s v="TX500630"/>
        <s v="TX500631"/>
        <s v="TX500632"/>
        <s v="TX500633"/>
        <s v="TX500634"/>
        <s v="TX500635"/>
        <s v="TX500636"/>
        <s v="TX500637"/>
        <s v="TX500638"/>
        <s v="TX500639"/>
        <s v="TX500640"/>
        <s v="TX500641"/>
        <s v="TX500642"/>
        <s v="TX500643"/>
        <s v="TX500644"/>
        <s v="TX500645"/>
        <s v="TX500646"/>
        <s v="TX500647"/>
        <s v="TX500648"/>
        <s v="TX500649"/>
        <s v="TX500650"/>
        <s v="TX500651"/>
        <s v="TX500652"/>
        <s v="TX500653"/>
        <s v="TX500654"/>
        <s v="TX500655"/>
        <s v="TX500656"/>
        <s v="TX500657"/>
        <s v="TX500658"/>
        <s v="TX500659"/>
        <s v="TX500660"/>
        <s v="TX500661"/>
        <s v="TX500662"/>
        <s v="TX500663"/>
        <s v="TX500664"/>
        <s v="TX500665"/>
        <s v="TX500666"/>
        <s v="TX500667"/>
        <s v="TX500668"/>
        <s v="TX500669"/>
        <s v="TX500670"/>
        <s v="TX500671"/>
        <s v="TX500672"/>
        <s v="TX500673"/>
        <s v="TX500674"/>
        <s v="TX500675"/>
        <s v="TX500676"/>
        <s v="TX500677"/>
        <s v="TX500678"/>
        <s v="TX500679"/>
        <s v="TX500680"/>
        <s v="TX500681"/>
        <s v="TX500682"/>
        <s v="TX500683"/>
        <s v="TX500684"/>
        <s v="TX500685"/>
        <s v="TX500686"/>
        <s v="TX500687"/>
        <s v="TX500688"/>
        <s v="TX500689"/>
        <s v="TX500690"/>
        <s v="TX500691"/>
        <s v="TX500692"/>
        <s v="TX500693"/>
        <s v="TX500694"/>
        <s v="TX500695"/>
        <s v="TX500696"/>
        <s v="TX500697"/>
        <s v="TX500698"/>
        <s v="TX500699"/>
        <s v="TX500700"/>
        <s v="TX500701"/>
        <s v="TX500702"/>
        <s v="TX500703"/>
        <s v="TX500704"/>
        <s v="TX500705"/>
        <s v="TX500706"/>
        <s v="TX500707"/>
        <s v="TX500708"/>
        <s v="TX500709"/>
        <s v="TX500710"/>
        <s v="TX500711"/>
        <s v="TX500712"/>
        <s v="TX500713"/>
        <s v="TX500714"/>
        <s v="TX500715"/>
        <s v="TX500716"/>
        <s v="TX500717"/>
        <s v="TX500718"/>
        <s v="TX500719"/>
        <s v="TX500720"/>
        <s v="TX500721"/>
        <s v="TX500722"/>
        <s v="TX500723"/>
        <s v="TX500724"/>
        <s v="TX500725"/>
        <s v="TX500726"/>
        <s v="TX500727"/>
        <s v="TX500728"/>
        <s v="TX500729"/>
        <s v="TX500730"/>
        <s v="TX500731"/>
        <s v="TX500732"/>
        <s v="TX500733"/>
        <s v="TX500734"/>
        <s v="TX500735"/>
        <s v="TX500736"/>
        <s v="TX500737"/>
        <s v="TX500738"/>
        <s v="TX500739"/>
        <s v="TX500740"/>
        <s v="TX500741"/>
        <s v="TX500742"/>
        <s v="TX500743"/>
        <s v="TX500744"/>
        <s v="TX500745"/>
        <s v="TX500746"/>
        <s v="TX500747"/>
        <s v="TX500748"/>
        <s v="TX500749"/>
        <s v="TX500750"/>
        <s v="TX500751"/>
        <s v="TX500752"/>
        <s v="TX500753"/>
        <s v="TX500754"/>
        <s v="TX500755"/>
        <s v="TX500756"/>
        <s v="TX500757"/>
        <s v="TX500758"/>
        <s v="TX500759"/>
        <s v="TX500760"/>
        <s v="TX500761"/>
        <s v="TX500762"/>
        <s v="TX500763"/>
        <s v="TX500764"/>
        <s v="TX500765"/>
        <s v="TX500766"/>
        <s v="TX500767"/>
        <s v="TX500768"/>
        <s v="TX500769"/>
        <s v="TX500770"/>
        <s v="TX500771"/>
        <s v="TX500772"/>
        <s v="TX500773"/>
        <s v="TX500774"/>
        <s v="TX500775"/>
        <s v="TX500776"/>
        <s v="TX500777"/>
        <s v="TX500778"/>
        <s v="TX500779"/>
        <s v="TX500780"/>
        <s v="TX500781"/>
        <s v="TX500782"/>
        <s v="TX500783"/>
        <s v="TX500784"/>
        <s v="TX500785"/>
        <s v="TX500786"/>
        <s v="TX500787"/>
        <s v="TX500788"/>
        <s v="TX500789"/>
        <s v="TX500790"/>
        <s v="TX500791"/>
        <s v="TX500792"/>
        <s v="TX500793"/>
        <s v="TX500794"/>
        <s v="TX500795"/>
        <s v="TX500796"/>
        <s v="TX500797"/>
        <s v="TX500798"/>
        <s v="TX500799"/>
        <s v="TX500800"/>
        <s v="TX500801"/>
        <s v="TX500802"/>
        <s v="TX500803"/>
        <s v="TX500804"/>
        <s v="TX500805"/>
        <s v="TX500806"/>
        <s v="TX500807"/>
        <s v="TX500808"/>
        <s v="TX500809"/>
        <s v="TX500810"/>
        <s v="TX500811"/>
        <s v="TX500812"/>
        <s v="TX500813"/>
        <s v="TX500814"/>
        <s v="TX500815"/>
        <s v="TX500816"/>
        <s v="TX500817"/>
        <s v="TX500818"/>
        <s v="TX500819"/>
        <s v="TX500820"/>
        <s v="TX500821"/>
        <s v="TX500822"/>
        <s v="TX500823"/>
        <s v="TX500824"/>
        <s v="TX500825"/>
        <s v="TX500826"/>
        <s v="TX500827"/>
        <s v="TX500828"/>
        <s v="TX500829"/>
        <s v="TX500830"/>
        <s v="TX500831"/>
        <s v="TX500832"/>
        <s v="TX500833"/>
        <s v="TX500834"/>
        <s v="TX500835"/>
        <s v="TX500836"/>
        <s v="TX500837"/>
        <s v="TX500838"/>
        <s v="TX500839"/>
        <s v="TX500840"/>
        <s v="TX500841"/>
        <s v="TX500842"/>
        <s v="TX500843"/>
        <s v="TX500844"/>
        <s v="TX500845"/>
        <s v="TX500846"/>
        <s v="TX500847"/>
        <s v="TX500848"/>
        <s v="TX500849"/>
        <s v="TX500850"/>
        <s v="TX500851"/>
        <s v="TX500852"/>
        <s v="TX500853"/>
        <s v="TX500854"/>
        <s v="TX500855"/>
        <s v="TX500856"/>
        <s v="TX500857"/>
        <s v="TX500858"/>
        <s v="TX500859"/>
        <s v="TX500860"/>
        <s v="TX500861"/>
        <s v="TX500862"/>
        <s v="TX500863"/>
        <s v="TX500864"/>
        <s v="TX500865"/>
        <s v="TX500866"/>
        <s v="TX500867"/>
        <s v="TX500868"/>
        <s v="TX500869"/>
        <s v="TX500870"/>
        <s v="TX500871"/>
        <s v="TX500872"/>
        <s v="TX500873"/>
        <s v="TX500874"/>
        <s v="TX500875"/>
        <s v="TX500876"/>
        <s v="TX500877"/>
        <s v="TX500878"/>
        <s v="TX500879"/>
        <s v="TX500880"/>
        <s v="TX500881"/>
        <s v="TX500882"/>
        <s v="TX500883"/>
        <s v="TX500884"/>
        <s v="TX500885"/>
        <s v="TX500886"/>
        <s v="TX500887"/>
        <s v="TX500888"/>
        <s v="TX500889"/>
        <s v="TX500890"/>
        <s v="TX500891"/>
        <s v="TX500892"/>
        <s v="TX500893"/>
        <s v="TX500894"/>
        <s v="TX500895"/>
        <s v="TX500896"/>
        <s v="TX500897"/>
        <s v="TX500898"/>
        <s v="TX500899"/>
        <s v="TX500900"/>
        <s v="TX500901"/>
        <s v="TX500902"/>
        <s v="TX500903"/>
        <s v="TX500904"/>
        <s v="TX500905"/>
        <s v="TX500906"/>
        <s v="TX500907"/>
        <s v="TX500908"/>
        <s v="TX500909"/>
        <s v="TX500910"/>
        <s v="TX500911"/>
        <s v="TX500912"/>
        <s v="TX500913"/>
        <s v="TX500914"/>
        <s v="TX500915"/>
        <s v="TX500916"/>
        <s v="TX500917"/>
        <s v="TX500918"/>
        <s v="TX500919"/>
        <s v="TX500920"/>
        <s v="TX500921"/>
        <s v="TX500922"/>
        <s v="TX500923"/>
        <s v="TX500924"/>
        <s v="TX500925"/>
        <s v="TX500926"/>
        <s v="TX500927"/>
        <s v="TX500928"/>
        <s v="TX500929"/>
        <s v="TX500930"/>
        <s v="TX500931"/>
        <s v="TX500932"/>
        <s v="TX500933"/>
        <s v="TX500934"/>
        <s v="TX500935"/>
        <s v="TX500936"/>
        <s v="TX500937"/>
        <s v="TX500938"/>
        <s v="TX500939"/>
        <s v="TX500940"/>
        <s v="TX500941"/>
        <s v="TX500942"/>
        <s v="TX500943"/>
        <s v="TX500944"/>
        <s v="TX500945"/>
        <s v="TX500946"/>
        <s v="TX500947"/>
        <s v="TX500948"/>
        <s v="TX500949"/>
        <s v="TX500950"/>
        <s v="TX500951"/>
        <s v="TX500952"/>
        <s v="TX500953"/>
        <s v="TX500954"/>
        <s v="TX500955"/>
        <s v="TX500956"/>
        <s v="TX500957"/>
        <s v="TX500958"/>
        <s v="TX500959"/>
        <s v="TX500960"/>
        <s v="TX500961"/>
        <s v="TX500962"/>
        <s v="TX500963"/>
        <s v="TX500964"/>
        <s v="TX500965"/>
        <s v="TX500966"/>
        <s v="TX500967"/>
        <s v="TX500968"/>
        <s v="TX500969"/>
        <s v="TX500970"/>
        <s v="TX500971"/>
        <s v="TX500972"/>
        <s v="TX500973"/>
        <s v="TX500974"/>
        <s v="TX500975"/>
        <s v="TX500976"/>
        <s v="TX500977"/>
        <s v="TX500978"/>
        <s v="TX500979"/>
        <s v="TX500980"/>
        <s v="TX500981"/>
        <s v="TX500982"/>
        <s v="TX500983"/>
        <s v="TX500984"/>
        <s v="TX500985"/>
        <s v="TX500986"/>
        <s v="TX500987"/>
        <s v="TX500988"/>
        <s v="TX500989"/>
        <s v="TX500990"/>
        <s v="TX500991"/>
        <s v="TX500992"/>
        <s v="TX500993"/>
        <s v="TX500994"/>
        <s v="TX500995"/>
        <s v="TX500996"/>
        <s v="TX500997"/>
        <s v="TX500998"/>
        <s v="TX500999"/>
        <s v="TX501000"/>
        <s v="TX501001"/>
        <s v="TX501002"/>
        <s v="TX501003"/>
        <s v="TX501004"/>
        <s v="TX501005"/>
        <s v="TX501006"/>
        <s v="TX501007"/>
        <s v="TX501008"/>
        <s v="TX501009"/>
        <s v="TX501010"/>
        <s v="TX501011"/>
        <s v="TX501012"/>
        <s v="TX501013"/>
        <s v="TX501014"/>
        <s v="TX501015"/>
        <s v="TX501016"/>
        <s v="TX501017"/>
        <s v="TX501018"/>
        <s v="TX501019"/>
        <s v="TX501020"/>
        <s v="TX501021"/>
        <s v="TX501022"/>
        <s v="TX501023"/>
        <s v="TX501024"/>
        <s v="TX501025"/>
        <s v="TX501026"/>
        <s v="TX501027"/>
        <s v="TX501028"/>
        <s v="TX501029"/>
        <s v="TX501030"/>
        <s v="TX501031"/>
        <s v="TX501032"/>
        <s v="TX501033"/>
        <s v="TX501034"/>
        <s v="TX501035"/>
        <s v="TX501036"/>
        <s v="TX501037"/>
        <s v="TX501038"/>
        <s v="TX501039"/>
        <s v="TX501040"/>
        <s v="TX501041"/>
        <s v="TX501042"/>
        <s v="TX501043"/>
        <s v="TX501044"/>
        <s v="TX501045"/>
        <s v="TX501046"/>
        <s v="TX501047"/>
        <s v="TX501048"/>
        <s v="TX501049"/>
        <s v="TX501050"/>
        <s v="TX501051"/>
        <s v="TX501052"/>
        <s v="TX501053"/>
        <s v="TX501054"/>
        <s v="TX501055"/>
        <s v="TX501056"/>
        <s v="TX501057"/>
        <s v="TX501058"/>
        <s v="TX501059"/>
        <s v="TX501060"/>
        <s v="TX501061"/>
        <s v="TX501062"/>
        <s v="TX501063"/>
        <s v="TX501064"/>
        <s v="TX501065"/>
        <s v="TX501066"/>
        <s v="TX501067"/>
        <s v="TX501068"/>
        <s v="TX501069"/>
        <s v="TX501070"/>
        <s v="TX501071"/>
        <s v="TX501072"/>
        <s v="TX501073"/>
        <s v="TX501074"/>
        <s v="TX501075"/>
        <s v="TX501076"/>
        <s v="TX501077"/>
        <s v="TX501078"/>
        <s v="TX501079"/>
        <s v="TX501080"/>
        <s v="TX501081"/>
        <s v="TX501082"/>
        <s v="TX501083"/>
        <s v="TX501084"/>
        <s v="TX501085"/>
        <s v="TX501086"/>
        <s v="TX501087"/>
        <s v="TX501088"/>
        <s v="TX501089"/>
        <s v="TX501090"/>
        <s v="TX501091"/>
        <s v="TX501092"/>
        <s v="TX501093"/>
        <s v="TX501094"/>
        <s v="TX501095"/>
        <s v="TX501096"/>
        <s v="TX501097"/>
        <s v="TX501098"/>
        <s v="TX501099"/>
        <s v="TX501100"/>
        <s v="TX501101"/>
        <s v="TX501102"/>
        <s v="TX501103"/>
        <s v="TX501104"/>
        <s v="TX501105"/>
        <s v="TX501106"/>
        <s v="TX501107"/>
        <s v="TX501108"/>
        <s v="TX501109"/>
        <s v="TX501110"/>
        <s v="TX501111"/>
        <s v="TX501112"/>
        <s v="TX501113"/>
        <s v="TX501114"/>
        <s v="TX501115"/>
        <s v="TX501116"/>
        <s v="TX501117"/>
        <s v="TX501118"/>
        <s v="TX501119"/>
        <s v="TX501120"/>
        <s v="TX501121"/>
        <s v="TX501122"/>
        <s v="TX501123"/>
        <s v="TX501124"/>
        <s v="TX501125"/>
        <s v="TX501126"/>
        <s v="TX501127"/>
        <s v="TX501128"/>
        <s v="TX501129"/>
        <s v="TX501130"/>
        <s v="TX501131"/>
        <s v="TX501132"/>
        <s v="TX501133"/>
        <s v="TX501134"/>
        <s v="TX501135"/>
        <s v="TX501136"/>
        <s v="TX501137"/>
        <s v="TX501138"/>
        <s v="TX501139"/>
        <s v="TX501140"/>
        <s v="TX501141"/>
        <s v="TX501142"/>
        <s v="TX501143"/>
        <s v="TX501144"/>
        <s v="TX501145"/>
        <s v="TX501146"/>
        <s v="TX501147"/>
        <s v="TX501148"/>
        <s v="TX501149"/>
        <s v="TX501150"/>
        <s v="TX501151"/>
        <s v="TX501152"/>
        <s v="TX501153"/>
        <s v="TX501154"/>
        <s v="TX501155"/>
        <s v="TX501156"/>
        <s v="TX501157"/>
        <s v="TX501158"/>
        <s v="TX501159"/>
        <s v="TX501160"/>
        <s v="TX501161"/>
        <s v="TX501162"/>
        <s v="TX501163"/>
        <s v="TX501164"/>
        <s v="TX501165"/>
        <s v="TX501166"/>
        <s v="TX501167"/>
        <s v="TX501168"/>
        <s v="TX501169"/>
        <s v="TX501170"/>
        <s v="TX501171"/>
        <s v="TX501172"/>
        <s v="TX501173"/>
        <s v="TX501174"/>
        <s v="TX501175"/>
        <s v="TX501176"/>
        <s v="TX501177"/>
        <s v="TX501178"/>
        <s v="TX501179"/>
        <s v="TX501180"/>
        <s v="TX501181"/>
        <s v="TX501182"/>
        <s v="TX501183"/>
        <s v="TX501184"/>
        <s v="TX501185"/>
        <s v="TX501186"/>
        <s v="TX501187"/>
        <s v="TX501188"/>
        <s v="TX501189"/>
        <s v="TX501190"/>
        <s v="TX501191"/>
        <s v="TX501192"/>
        <s v="TX501193"/>
        <s v="TX501194"/>
        <s v="TX501195"/>
        <s v="TX501196"/>
        <s v="TX501197"/>
        <s v="TX501198"/>
        <s v="TX501199"/>
        <s v="TX501200"/>
        <s v="TX501201"/>
        <s v="TX501202"/>
        <s v="TX501203"/>
        <s v="TX501204"/>
        <s v="TX501205"/>
        <s v="TX501206"/>
        <s v="TX501207"/>
        <s v="TX501208"/>
        <s v="TX501209"/>
        <s v="TX501210"/>
        <s v="TX501211"/>
        <s v="TX501212"/>
        <s v="TX501213"/>
        <s v="TX501214"/>
        <s v="TX501215"/>
        <s v="TX501216"/>
        <s v="TX501217"/>
        <s v="TX501218"/>
        <s v="TX501219"/>
        <s v="TX501220"/>
        <s v="TX501221"/>
        <s v="TX501222"/>
        <s v="TX501223"/>
        <s v="TX501224"/>
        <s v="TX501225"/>
        <s v="TX501226"/>
        <s v="TX501227"/>
        <s v="TX501228"/>
        <s v="TX501229"/>
        <s v="TX501230"/>
        <s v="TX501231"/>
        <s v="TX501232"/>
        <s v="TX501233"/>
        <s v="TX501234"/>
        <s v="TX501235"/>
        <s v="TX501236"/>
        <s v="TX501237"/>
        <s v="TX501238"/>
        <s v="TX501239"/>
        <s v="TX501240"/>
        <s v="TX501241"/>
        <s v="TX501242"/>
        <s v="TX501243"/>
        <s v="TX501244"/>
        <s v="TX501245"/>
        <s v="TX501246"/>
        <s v="TX501247"/>
        <s v="TX501248"/>
        <s v="TX501249"/>
        <s v="TX501250"/>
        <s v="TX501251"/>
        <s v="TX501252"/>
        <s v="TX501253"/>
        <s v="TX501254"/>
        <s v="TX501255"/>
        <s v="TX501256"/>
        <s v="TX501257"/>
        <s v="TX501258"/>
        <s v="TX501259"/>
        <s v="TX501260"/>
        <s v="TX501261"/>
        <s v="TX501262"/>
        <s v="TX501263"/>
        <s v="TX501264"/>
        <s v="TX501265"/>
        <s v="TX501266"/>
        <s v="TX501267"/>
        <s v="TX501268"/>
        <s v="TX501269"/>
        <s v="TX501270"/>
        <s v="TX501271"/>
        <s v="TX501272"/>
        <s v="TX501273"/>
        <s v="TX501274"/>
        <s v="TX501275"/>
        <s v="TX501276"/>
        <s v="TX501277"/>
        <s v="TX501278"/>
        <s v="TX501279"/>
        <s v="TX501280"/>
        <s v="TX501281"/>
        <s v="TX501282"/>
        <s v="TX501283"/>
        <s v="TX501284"/>
        <s v="TX501285"/>
        <s v="TX501286"/>
        <s v="TX501287"/>
        <s v="TX501288"/>
        <s v="TX501289"/>
        <s v="TX501290"/>
        <s v="TX501291"/>
        <s v="TX501292"/>
        <s v="TX501293"/>
        <s v="TX501294"/>
        <s v="TX501295"/>
        <s v="TX501296"/>
        <s v="TX501297"/>
        <s v="TX501298"/>
        <s v="TX501299"/>
        <s v="TX501300"/>
        <s v="TX501301"/>
        <s v="TX501302"/>
        <s v="TX501303"/>
        <s v="TX501304"/>
        <s v="TX501305"/>
        <s v="TX501306"/>
        <s v="TX501307"/>
        <s v="TX501308"/>
        <s v="TX501309"/>
        <s v="TX501310"/>
        <s v="TX501311"/>
        <s v="TX501312"/>
        <s v="TX501313"/>
        <s v="TX501314"/>
        <s v="TX501315"/>
        <s v="TX501316"/>
        <s v="TX501317"/>
        <s v="TX501318"/>
        <s v="TX501319"/>
        <s v="TX501320"/>
        <s v="TX501321"/>
        <s v="TX501322"/>
        <s v="TX501323"/>
        <s v="TX501324"/>
        <s v="TX501325"/>
        <s v="TX501326"/>
        <s v="TX501327"/>
        <s v="TX501328"/>
        <s v="TX501329"/>
        <s v="TX501330"/>
        <s v="TX501331"/>
        <s v="TX501332"/>
        <s v="TX501333"/>
        <s v="TX501334"/>
        <s v="TX501335"/>
        <s v="TX501336"/>
        <s v="TX501337"/>
        <s v="TX501338"/>
        <s v="TX501339"/>
        <s v="TX501340"/>
        <s v="TX501341"/>
        <s v="TX501342"/>
        <s v="TX501343"/>
        <s v="TX501344"/>
        <s v="TX501345"/>
        <s v="TX501346"/>
        <s v="TX501347"/>
        <s v="TX501348"/>
        <s v="TX501349"/>
        <s v="TX501350"/>
        <s v="TX501351"/>
        <s v="TX501352"/>
        <s v="TX501353"/>
        <s v="TX501354"/>
        <s v="TX501355"/>
        <s v="TX501356"/>
        <s v="TX501357"/>
        <s v="TX501358"/>
        <s v="TX501359"/>
        <s v="TX501360"/>
        <s v="TX501361"/>
        <s v="TX501362"/>
        <s v="TX501363"/>
        <s v="TX501364"/>
        <s v="TX501365"/>
        <s v="TX501366"/>
        <s v="TX501367"/>
        <s v="TX501368"/>
        <s v="TX501369"/>
        <s v="TX501370"/>
        <s v="TX501371"/>
        <s v="TX501372"/>
        <s v="TX501373"/>
        <s v="TX501374"/>
        <s v="TX501375"/>
        <s v="TX501376"/>
        <s v="TX501377"/>
        <s v="TX501378"/>
        <s v="TX501379"/>
        <s v="TX501380"/>
        <s v="TX501381"/>
        <s v="TX501382"/>
        <s v="TX501383"/>
        <s v="TX501384"/>
        <s v="TX501385"/>
        <s v="TX501386"/>
        <s v="TX501387"/>
        <s v="TX501388"/>
        <s v="TX501389"/>
        <s v="TX501390"/>
        <s v="TX501391"/>
        <s v="TX501392"/>
        <s v="TX501393"/>
        <s v="TX501394"/>
        <s v="TX501395"/>
        <s v="TX501396"/>
        <s v="TX501397"/>
        <s v="TX501398"/>
        <s v="TX501399"/>
        <s v="TX501400"/>
        <s v="TX501401"/>
        <s v="TX501402"/>
        <s v="TX501403"/>
        <s v="TX501404"/>
        <s v="TX501405"/>
        <s v="TX501406"/>
        <s v="TX501407"/>
        <s v="TX501408"/>
        <s v="TX501409"/>
        <s v="TX501410"/>
        <s v="TX501411"/>
        <s v="TX501412"/>
        <s v="TX501413"/>
        <s v="TX501414"/>
        <s v="TX501415"/>
        <s v="TX501416"/>
        <s v="TX501417"/>
        <s v="TX501418"/>
        <s v="TX501419"/>
        <s v="TX501420"/>
        <s v="TX501421"/>
        <s v="TX501422"/>
        <s v="TX501423"/>
        <s v="TX501424"/>
        <s v="TX501425"/>
        <s v="TX501426"/>
        <s v="TX501427"/>
        <s v="TX501428"/>
        <s v="TX501429"/>
        <s v="TX501430"/>
        <s v="TX501431"/>
        <s v="TX501432"/>
        <s v="TX501433"/>
        <s v="TX501434"/>
        <s v="TX501435"/>
        <s v="TX501436"/>
        <s v="TX501437"/>
        <s v="TX501438"/>
        <s v="TX501439"/>
        <s v="TX501440"/>
        <s v="TX501441"/>
        <s v="TX501442"/>
        <s v="TX501443"/>
        <s v="TX501444"/>
        <s v="TX501445"/>
        <s v="TX501446"/>
        <s v="TX501447"/>
        <s v="TX501448"/>
        <s v="TX501449"/>
        <s v="TX501450"/>
        <s v="TX501451"/>
        <s v="TX501452"/>
        <s v="TX501453"/>
        <s v="TX501454"/>
        <s v="TX501455"/>
        <s v="TX501456"/>
        <s v="TX501457"/>
        <s v="TX501458"/>
        <s v="TX501459"/>
        <s v="TX501460"/>
        <s v="TX501461"/>
        <s v="TX501462"/>
        <s v="TX501463"/>
        <s v="TX501464"/>
        <s v="TX501465"/>
        <s v="TX501466"/>
        <s v="TX501467"/>
        <s v="TX501468"/>
        <s v="TX501469"/>
        <s v="TX501470"/>
        <s v="TX501471"/>
        <s v="TX501472"/>
        <s v="TX501473"/>
        <s v="TX501474"/>
        <s v="TX501475"/>
        <s v="TX501476"/>
        <s v="TX501477"/>
        <s v="TX501478"/>
        <s v="TX501479"/>
        <s v="TX501480"/>
        <s v="TX501481"/>
        <s v="TX501482"/>
        <s v="TX501483"/>
        <s v="TX501484"/>
        <s v="TX501485"/>
        <s v="TX501486"/>
        <s v="TX501487"/>
        <s v="TX501488"/>
        <s v="TX501489"/>
        <s v="TX501490"/>
        <s v="TX501491"/>
        <s v="TX501492"/>
        <s v="TX501493"/>
        <s v="TX501494"/>
        <s v="TX501495"/>
        <s v="TX501496"/>
        <s v="TX501497"/>
        <s v="TX501498"/>
        <s v="TX501499"/>
        <s v="TX501500"/>
        <s v="TX501501"/>
        <s v="TX501502"/>
        <s v="TX501503"/>
        <s v="TX501504"/>
        <s v="TX501505"/>
        <s v="TX501506"/>
        <s v="TX501507"/>
        <s v="TX501508"/>
        <s v="TX501509"/>
        <s v="TX501510"/>
        <s v="TX501511"/>
        <s v="TX501512"/>
        <s v="TX501513"/>
        <s v="TX501514"/>
        <s v="TX501515"/>
        <s v="TX501516"/>
        <s v="TX501517"/>
        <s v="TX501518"/>
        <s v="TX501519"/>
        <s v="TX501520"/>
        <s v="TX501521"/>
        <s v="TX501522"/>
        <s v="TX501523"/>
        <s v="TX501524"/>
        <s v="TX501525"/>
        <s v="TX501526"/>
        <s v="TX501527"/>
        <s v="TX501528"/>
        <s v="TX501529"/>
        <s v="TX501530"/>
        <s v="TX501531"/>
        <s v="TX501532"/>
        <s v="TX501533"/>
        <s v="TX501534"/>
        <s v="TX501535"/>
        <s v="TX501536"/>
        <s v="TX501537"/>
        <s v="TX501538"/>
        <s v="TX501539"/>
        <s v="TX501540"/>
        <s v="TX501541"/>
        <s v="TX501542"/>
        <s v="TX501543"/>
        <s v="TX501544"/>
        <s v="TX501545"/>
        <s v="TX501546"/>
        <s v="TX501547"/>
        <s v="TX501548"/>
        <s v="TX501549"/>
        <s v="TX501550"/>
        <s v="TX501551"/>
        <s v="TX501552"/>
        <s v="TX501553"/>
        <s v="TX501554"/>
        <s v="TX501555"/>
        <s v="TX501556"/>
        <s v="TX501557"/>
        <s v="TX501558"/>
        <s v="TX501559"/>
        <s v="TX501560"/>
        <s v="TX501561"/>
        <s v="TX501562"/>
        <s v="TX501563"/>
        <s v="TX501564"/>
        <s v="TX501565"/>
        <s v="TX501566"/>
        <s v="TX501567"/>
        <s v="TX501568"/>
        <s v="TX501569"/>
        <s v="TX501570"/>
        <s v="TX501571"/>
        <s v="TX501572"/>
        <s v="TX501573"/>
        <s v="TX501574"/>
        <s v="TX501575"/>
        <s v="TX501576"/>
        <s v="TX501577"/>
        <s v="TX501578"/>
        <s v="TX501579"/>
        <s v="TX501580"/>
        <s v="TX501581"/>
        <s v="TX501582"/>
        <s v="TX501583"/>
        <s v="TX501584"/>
        <s v="TX501585"/>
        <s v="TX501586"/>
        <s v="TX501587"/>
        <s v="TX501588"/>
        <s v="TX501589"/>
        <s v="TX501590"/>
        <s v="TX501591"/>
        <s v="TX501592"/>
        <s v="TX501593"/>
        <s v="TX501594"/>
        <s v="TX501595"/>
        <s v="TX501596"/>
        <s v="TX501597"/>
        <s v="TX501598"/>
        <s v="TX501599"/>
        <s v="TX501600"/>
        <s v="TX501601"/>
        <s v="TX501602"/>
        <s v="TX501603"/>
        <s v="TX501604"/>
        <s v="TX501605"/>
        <s v="TX501606"/>
        <s v="TX501607"/>
        <s v="TX501608"/>
        <s v="TX501609"/>
        <s v="TX501610"/>
        <s v="TX501611"/>
        <s v="TX501612"/>
        <s v="TX501613"/>
        <s v="TX501614"/>
        <s v="TX501615"/>
        <s v="TX501616"/>
        <s v="TX501617"/>
        <s v="TX501618"/>
        <s v="TX501619"/>
        <s v="TX501620"/>
        <s v="TX501621"/>
        <s v="TX501622"/>
        <s v="TX501623"/>
        <s v="TX501624"/>
        <s v="TX501625"/>
        <s v="TX501626"/>
        <s v="TX501627"/>
        <s v="TX501628"/>
        <s v="TX501629"/>
        <s v="TX501630"/>
        <s v="TX501631"/>
        <s v="TX501632"/>
        <s v="TX501633"/>
        <s v="TX501634"/>
        <s v="TX501635"/>
        <s v="TX501636"/>
        <s v="TX501637"/>
        <s v="TX501638"/>
        <s v="TX501639"/>
        <s v="TX501640"/>
        <s v="TX501641"/>
        <s v="TX501642"/>
        <s v="TX501643"/>
        <s v="TX501644"/>
        <s v="TX501645"/>
        <s v="TX501646"/>
        <s v="TX501647"/>
        <s v="TX501648"/>
        <s v="TX501649"/>
        <s v="TX501650"/>
        <s v="TX501651"/>
        <s v="TX501652"/>
        <s v="TX501653"/>
        <s v="TX501654"/>
        <s v="TX501655"/>
        <s v="TX501656"/>
        <s v="TX501657"/>
        <s v="TX501658"/>
        <s v="TX501659"/>
        <s v="TX501660"/>
        <s v="TX501661"/>
        <s v="TX501662"/>
        <s v="TX501663"/>
        <s v="TX501664"/>
        <s v="TX501665"/>
        <s v="TX501666"/>
        <s v="TX501667"/>
        <s v="TX501668"/>
        <s v="TX501669"/>
        <s v="TX501670"/>
        <s v="TX501671"/>
        <s v="TX501672"/>
        <s v="TX501673"/>
        <s v="TX501674"/>
        <s v="TX501675"/>
        <s v="TX501676"/>
        <s v="TX501677"/>
        <s v="TX501678"/>
        <s v="TX501679"/>
        <s v="TX501680"/>
        <s v="TX501681"/>
        <s v="TX501682"/>
        <s v="TX501683"/>
        <s v="TX501684"/>
        <s v="TX501685"/>
        <s v="TX501686"/>
        <s v="TX501687"/>
        <s v="TX501688"/>
        <s v="TX501689"/>
        <s v="TX501690"/>
        <s v="TX501691"/>
        <s v="TX501692"/>
        <s v="TX501693"/>
        <s v="TX501694"/>
        <s v="TX501695"/>
        <s v="TX501696"/>
        <s v="TX501697"/>
        <s v="TX501698"/>
        <s v="TX501699"/>
        <s v="TX501700"/>
        <s v="TX501701"/>
        <s v="TX501702"/>
        <s v="TX501703"/>
        <s v="TX501704"/>
        <s v="TX501705"/>
        <s v="TX501706"/>
        <s v="TX501707"/>
        <s v="TX501708"/>
        <s v="TX501709"/>
        <s v="TX501710"/>
        <s v="TX501711"/>
        <s v="TX501712"/>
        <s v="TX501713"/>
        <s v="TX501714"/>
        <s v="TX501715"/>
        <s v="TX501716"/>
        <s v="TX501717"/>
        <s v="TX501718"/>
        <s v="TX501719"/>
        <s v="TX501720"/>
        <s v="TX501721"/>
        <s v="TX501722"/>
        <s v="TX501723"/>
        <s v="TX501724"/>
        <s v="TX501725"/>
        <s v="TX501726"/>
        <s v="TX501727"/>
        <s v="TX501728"/>
        <s v="TX501729"/>
        <s v="TX501730"/>
        <s v="TX501731"/>
        <s v="TX501732"/>
        <s v="TX501733"/>
        <s v="TX501734"/>
        <s v="TX501735"/>
        <s v="TX501736"/>
        <s v="TX501737"/>
        <s v="TX501738"/>
        <s v="TX501739"/>
        <s v="TX501740"/>
        <s v="TX501741"/>
        <s v="TX501742"/>
        <s v="TX501743"/>
        <s v="TX501744"/>
        <s v="TX501745"/>
        <s v="TX501746"/>
        <s v="TX501747"/>
        <s v="TX501748"/>
        <s v="TX501749"/>
        <s v="TX501750"/>
        <s v="TX501751"/>
        <s v="TX501752"/>
        <s v="TX501753"/>
        <s v="TX501754"/>
        <s v="TX501755"/>
        <s v="TX501756"/>
        <s v="TX501757"/>
        <s v="TX501758"/>
        <s v="TX501759"/>
        <s v="TX501760"/>
        <s v="TX501761"/>
        <s v="TX501762"/>
        <s v="TX501763"/>
        <s v="TX501764"/>
        <s v="TX501765"/>
        <s v="TX501766"/>
        <s v="TX501767"/>
        <s v="TX501768"/>
        <s v="TX501769"/>
        <s v="TX501770"/>
        <s v="TX501771"/>
        <s v="TX501772"/>
        <s v="TX501773"/>
        <s v="TX501774"/>
        <s v="TX501775"/>
        <s v="TX501776"/>
        <s v="TX501777"/>
        <s v="TX501778"/>
        <s v="TX501779"/>
        <s v="TX501780"/>
        <s v="TX501781"/>
        <s v="TX501782"/>
        <s v="TX501783"/>
        <s v="TX501784"/>
        <s v="TX501785"/>
        <s v="TX501786"/>
        <s v="TX501787"/>
        <s v="TX501788"/>
        <s v="TX501789"/>
        <s v="TX501790"/>
        <s v="TX501791"/>
        <s v="TX501792"/>
        <s v="TX501793"/>
        <s v="TX501794"/>
        <s v="TX501795"/>
        <s v="TX501796"/>
        <s v="TX501797"/>
        <s v="TX501798"/>
        <s v="TX501799"/>
        <s v="TX501800"/>
        <s v="TX501801"/>
        <s v="TX501802"/>
        <s v="TX501803"/>
        <s v="TX501804"/>
        <s v="TX501805"/>
        <s v="TX501806"/>
        <s v="TX501807"/>
        <s v="TX501808"/>
        <s v="TX501809"/>
        <s v="TX501810"/>
        <s v="TX501811"/>
        <s v="TX501812"/>
        <s v="TX501813"/>
        <s v="TX501814"/>
        <s v="TX501815"/>
        <s v="TX501816"/>
        <s v="TX501817"/>
        <s v="TX501818"/>
        <s v="TX501819"/>
        <s v="TX501820"/>
        <s v="TX501821"/>
        <s v="TX501822"/>
        <s v="TX501823"/>
        <s v="TX501824"/>
        <s v="TX501825"/>
        <s v="TX501826"/>
        <s v="TX501827"/>
        <s v="TX501828"/>
        <s v="TX501829"/>
        <s v="TX501830"/>
        <s v="TX501831"/>
        <s v="TX501832"/>
        <s v="TX501833"/>
        <s v="TX501834"/>
        <s v="TX501835"/>
        <s v="TX501836"/>
        <s v="TX501837"/>
        <s v="TX501838"/>
        <s v="TX501839"/>
        <s v="TX501840"/>
        <s v="TX501841"/>
        <s v="TX501842"/>
        <s v="TX501843"/>
        <s v="TX501844"/>
        <s v="TX501845"/>
        <s v="TX501846"/>
        <s v="TX501847"/>
        <s v="TX501848"/>
        <s v="TX501849"/>
        <s v="TX501850"/>
        <s v="TX501851"/>
        <s v="TX501852"/>
        <s v="TX501853"/>
        <s v="TX501854"/>
        <s v="TX501855"/>
        <s v="TX501856"/>
        <s v="TX501857"/>
        <s v="TX501858"/>
        <s v="TX501859"/>
        <s v="TX501860"/>
        <s v="TX501861"/>
        <s v="TX501862"/>
        <s v="TX501863"/>
        <s v="TX501864"/>
        <s v="TX501865"/>
        <s v="TX501866"/>
        <s v="TX501867"/>
        <s v="TX501868"/>
        <s v="TX501869"/>
        <s v="TX501870"/>
        <s v="TX501871"/>
        <s v="TX501872"/>
        <s v="TX501873"/>
        <s v="TX501874"/>
        <s v="TX501875"/>
        <s v="TX501876"/>
        <s v="TX501877"/>
        <s v="TX501878"/>
        <s v="TX501879"/>
        <s v="TX501880"/>
        <s v="TX501881"/>
        <s v="TX501882"/>
        <s v="TX501883"/>
        <s v="TX501884"/>
        <s v="TX501885"/>
        <s v="TX501886"/>
        <s v="TX501887"/>
        <s v="TX501888"/>
        <s v="TX501889"/>
        <s v="TX501890"/>
        <s v="TX501891"/>
        <s v="TX501892"/>
        <s v="TX501893"/>
        <s v="TX501894"/>
        <s v="TX501895"/>
        <s v="TX501896"/>
        <s v="TX501897"/>
        <s v="TX501898"/>
        <s v="TX501899"/>
        <s v="TX501900"/>
        <s v="TX501901"/>
        <s v="TX501902"/>
        <s v="TX501903"/>
        <s v="TX501904"/>
        <s v="TX501905"/>
        <s v="TX501906"/>
        <s v="TX501907"/>
        <s v="TX501908"/>
        <s v="TX501909"/>
        <s v="TX501910"/>
        <s v="TX501911"/>
        <s v="TX501912"/>
        <s v="TX501913"/>
        <s v="TX501914"/>
        <s v="TX501915"/>
        <s v="TX501916"/>
        <s v="TX501917"/>
        <s v="TX501918"/>
        <s v="TX501919"/>
        <s v="TX501920"/>
        <s v="TX501921"/>
        <s v="TX501922"/>
        <s v="TX501923"/>
        <s v="TX501924"/>
        <s v="TX501925"/>
        <s v="TX501926"/>
        <s v="TX501927"/>
        <s v="TX501928"/>
        <s v="TX501929"/>
        <s v="TX501930"/>
        <s v="TX501931"/>
        <s v="TX501932"/>
        <s v="TX501933"/>
        <s v="TX501934"/>
        <s v="TX501935"/>
        <s v="TX501936"/>
        <s v="TX501937"/>
        <s v="TX501938"/>
        <s v="TX501939"/>
        <s v="TX501940"/>
        <s v="TX501941"/>
        <s v="TX501942"/>
        <s v="TX501943"/>
        <s v="TX501944"/>
        <s v="TX501945"/>
        <s v="TX501946"/>
        <s v="TX501947"/>
        <s v="TX501948"/>
        <s v="TX501949"/>
        <s v="TX501950"/>
        <s v="TX501951"/>
        <s v="TX501952"/>
        <s v="TX501953"/>
        <s v="TX501954"/>
        <s v="TX501955"/>
        <s v="TX501956"/>
        <s v="TX501957"/>
        <s v="TX501958"/>
        <s v="TX501959"/>
        <s v="TX501960"/>
        <s v="TX501961"/>
        <s v="TX501962"/>
        <s v="TX501963"/>
        <s v="TX501964"/>
        <s v="TX501965"/>
        <s v="TX501966"/>
        <s v="TX501967"/>
        <s v="TX501968"/>
        <s v="TX501969"/>
        <s v="TX501970"/>
        <s v="TX501971"/>
        <s v="TX501972"/>
        <s v="TX501973"/>
        <s v="TX501974"/>
        <s v="TX501975"/>
        <s v="TX501976"/>
        <s v="TX501977"/>
        <s v="TX501978"/>
        <s v="TX501979"/>
        <s v="TX501980"/>
        <s v="TX501981"/>
        <s v="TX501982"/>
        <s v="TX501983"/>
        <s v="TX501984"/>
        <s v="TX501985"/>
        <s v="TX501986"/>
        <s v="TX501987"/>
        <s v="TX501988"/>
        <s v="TX501989"/>
        <s v="TX501990"/>
        <s v="TX501991"/>
        <s v="TX501992"/>
        <s v="TX501993"/>
        <s v="TX501994"/>
        <s v="TX501995"/>
        <s v="TX501996"/>
        <s v="TX501997"/>
        <s v="TX501998"/>
        <s v="TX501999"/>
        <s v="TX502000"/>
        <s v="TX502001"/>
        <s v="TX502002"/>
        <s v="TX502003"/>
        <s v="TX502004"/>
        <s v="TX502005"/>
        <s v="TX502006"/>
        <s v="TX502007"/>
        <s v="TX502008"/>
        <s v="TX502009"/>
        <s v="TX502010"/>
        <s v="TX502011"/>
        <s v="TX502012"/>
        <s v="TX502013"/>
        <s v="TX502014"/>
        <s v="TX502015"/>
        <s v="TX502016"/>
        <s v="TX502017"/>
        <s v="TX502018"/>
        <s v="TX502019"/>
        <s v="TX502020"/>
        <s v="TX502021"/>
        <s v="TX502022"/>
        <s v="TX502023"/>
        <s v="TX502024"/>
        <s v="TX502025"/>
        <s v="TX502026"/>
        <s v="TX502027"/>
        <s v="TX502028"/>
        <s v="TX502029"/>
        <s v="TX502030"/>
        <s v="TX502031"/>
        <s v="TX502032"/>
        <s v="TX502033"/>
        <s v="TX502034"/>
        <s v="TX502035"/>
        <s v="TX502036"/>
        <s v="TX502037"/>
        <s v="TX502038"/>
        <s v="TX502039"/>
        <s v="TX502040"/>
        <s v="TX502041"/>
        <s v="TX502042"/>
        <s v="TX502043"/>
        <s v="TX502044"/>
        <s v="TX502045"/>
        <s v="TX502046"/>
        <s v="TX502047"/>
        <s v="TX502048"/>
        <s v="TX502049"/>
        <s v="TX502050"/>
        <s v="TX502051"/>
        <s v="TX502052"/>
        <s v="TX502053"/>
        <s v="TX502054"/>
        <s v="TX502055"/>
        <s v="TX502056"/>
        <s v="TX502057"/>
        <s v="TX502058"/>
        <s v="TX502059"/>
        <s v="TX502060"/>
        <s v="TX502061"/>
        <s v="TX502062"/>
        <s v="TX502063"/>
        <s v="TX502064"/>
        <s v="TX502065"/>
        <s v="TX502066"/>
        <s v="TX502067"/>
        <s v="TX502068"/>
        <s v="TX502069"/>
        <s v="TX502070"/>
        <s v="TX502071"/>
        <s v="TX502072"/>
        <s v="TX502073"/>
        <s v="TX502074"/>
        <s v="TX502075"/>
        <s v="TX502076"/>
        <s v="TX502077"/>
        <s v="TX502078"/>
        <s v="TX502079"/>
        <s v="TX502080"/>
        <s v="TX502081"/>
        <s v="TX502082"/>
        <s v="TX502083"/>
        <s v="TX502084"/>
        <s v="TX502085"/>
        <s v="TX502086"/>
        <s v="TX502087"/>
        <s v="TX502088"/>
        <s v="TX502089"/>
        <s v="TX502090"/>
        <s v="TX502091"/>
        <s v="TX502092"/>
        <s v="TX502093"/>
        <s v="TX502094"/>
        <s v="TX502095"/>
        <s v="TX502096"/>
        <s v="TX502097"/>
        <s v="TX502098"/>
        <s v="TX502099"/>
        <s v="TX502100"/>
        <s v="TX502101"/>
        <s v="TX502102"/>
        <s v="TX502103"/>
        <s v="TX502104"/>
        <s v="TX502105"/>
        <s v="TX502106"/>
        <s v="TX502107"/>
        <s v="TX502108"/>
        <s v="TX502109"/>
        <s v="TX502110"/>
        <s v="TX502111"/>
        <s v="TX502112"/>
        <s v="TX502113"/>
        <s v="TX502114"/>
        <s v="TX502115"/>
        <s v="TX502116"/>
        <s v="TX502117"/>
        <s v="TX502118"/>
        <s v="TX502119"/>
        <s v="TX502120"/>
        <s v="TX502121"/>
        <s v="TX502122"/>
        <s v="TX502123"/>
        <s v="TX502124"/>
        <s v="TX502125"/>
        <s v="TX502126"/>
        <s v="TX502127"/>
        <s v="TX502128"/>
        <s v="TX502129"/>
        <s v="TX502130"/>
        <s v="TX502131"/>
        <s v="TX502132"/>
        <s v="TX502133"/>
        <s v="TX502134"/>
        <s v="TX502135"/>
        <s v="TX502136"/>
        <s v="TX502137"/>
        <s v="TX502138"/>
        <s v="TX502139"/>
        <s v="TX502140"/>
        <s v="TX502141"/>
        <s v="TX502142"/>
        <s v="TX502143"/>
        <s v="TX502144"/>
        <s v="TX502145"/>
        <s v="TX502146"/>
        <s v="TX502147"/>
        <s v="TX502148"/>
        <s v="TX502149"/>
        <s v="TX502150"/>
        <s v="TX502151"/>
        <s v="TX502152"/>
        <s v="TX502153"/>
        <s v="TX502154"/>
        <s v="TX502155"/>
        <s v="TX502156"/>
        <s v="TX502157"/>
        <s v="TX502158"/>
        <s v="TX502159"/>
        <s v="TX502160"/>
        <s v="TX502161"/>
        <s v="TX502162"/>
        <s v="TX502163"/>
        <s v="TX502164"/>
        <s v="TX502165"/>
        <s v="TX502166"/>
        <s v="TX502167"/>
        <s v="TX502168"/>
        <s v="TX502169"/>
        <s v="TX502170"/>
        <s v="TX502171"/>
        <s v="TX502172"/>
        <s v="TX502173"/>
        <s v="TX502174"/>
        <s v="TX502175"/>
        <s v="TX502176"/>
        <s v="TX502177"/>
        <s v="TX502178"/>
        <s v="TX502179"/>
        <s v="TX502180"/>
        <s v="TX502181"/>
        <s v="TX502182"/>
        <s v="TX502183"/>
        <s v="TX502184"/>
        <s v="TX502185"/>
        <s v="TX502186"/>
        <s v="TX502187"/>
        <s v="TX502188"/>
        <s v="TX502189"/>
        <s v="TX502190"/>
        <s v="TX502191"/>
        <s v="TX502192"/>
        <s v="TX502193"/>
        <s v="TX502194"/>
        <s v="TX502195"/>
        <s v="TX502196"/>
        <s v="TX502197"/>
        <s v="TX502198"/>
        <s v="TX502199"/>
        <s v="TX502200"/>
        <s v="TX502201"/>
        <s v="TX502202"/>
        <s v="TX502203"/>
        <s v="TX502204"/>
        <s v="TX502205"/>
        <s v="TX502206"/>
        <s v="TX502207"/>
        <s v="TX502208"/>
        <s v="TX502209"/>
        <s v="TX502210"/>
        <s v="TX502211"/>
        <s v="TX502212"/>
        <s v="TX502213"/>
        <s v="TX502214"/>
        <s v="TX502215"/>
        <s v="TX502216"/>
        <s v="TX502217"/>
        <s v="TX502218"/>
        <s v="TX502219"/>
        <s v="TX502220"/>
        <s v="TX502221"/>
        <s v="TX502222"/>
        <s v="TX502223"/>
        <s v="TX502224"/>
        <s v="TX502225"/>
        <s v="TX502226"/>
        <s v="TX502227"/>
        <s v="TX502228"/>
        <s v="TX502229"/>
        <s v="TX502230"/>
        <s v="TX502231"/>
        <s v="TX502232"/>
        <s v="TX502233"/>
        <s v="TX502234"/>
        <s v="TX502235"/>
        <s v="TX502236"/>
        <s v="TX502237"/>
        <s v="TX502238"/>
        <s v="TX502239"/>
        <s v="TX502240"/>
        <s v="TX502241"/>
        <s v="TX502242"/>
        <s v="TX502243"/>
        <s v="TX502244"/>
        <s v="TX502245"/>
        <s v="TX502246"/>
        <s v="TX502247"/>
        <s v="TX502248"/>
        <s v="TX502249"/>
        <s v="TX502250"/>
        <s v="TX502251"/>
        <s v="TX502252"/>
        <s v="TX502253"/>
        <s v="TX502254"/>
        <s v="TX502255"/>
        <s v="TX502256"/>
        <s v="TX502257"/>
        <s v="TX502258"/>
        <s v="TX502259"/>
        <s v="TX502260"/>
        <s v="TX502261"/>
        <s v="TX502262"/>
        <s v="TX502263"/>
        <s v="TX502264"/>
        <s v="TX502265"/>
        <s v="TX502266"/>
        <s v="TX502267"/>
        <s v="TX502268"/>
        <s v="TX502269"/>
        <s v="TX502270"/>
        <s v="TX502271"/>
        <s v="TX502272"/>
        <s v="TX502273"/>
        <s v="TX502274"/>
        <s v="TX502275"/>
        <s v="TX502276"/>
        <s v="TX502277"/>
        <s v="TX502278"/>
        <s v="TX502279"/>
        <s v="TX502280"/>
        <s v="TX502281"/>
        <s v="TX502282"/>
        <s v="TX502283"/>
        <s v="TX502284"/>
        <s v="TX502285"/>
        <s v="TX502286"/>
        <s v="TX502287"/>
        <s v="TX502288"/>
        <s v="TX502289"/>
        <s v="TX502290"/>
        <s v="TX502291"/>
        <s v="TX502292"/>
        <s v="TX502293"/>
        <s v="TX502294"/>
        <s v="TX502295"/>
        <s v="TX502296"/>
        <s v="TX502297"/>
        <s v="TX502298"/>
        <s v="TX502299"/>
        <s v="TX502300"/>
        <s v="TX502301"/>
        <s v="TX502302"/>
        <s v="TX502303"/>
        <s v="TX502304"/>
        <s v="TX502305"/>
        <s v="TX502306"/>
        <s v="TX502307"/>
        <s v="TX502308"/>
        <s v="TX502309"/>
        <s v="TX502310"/>
        <s v="TX502311"/>
        <s v="TX502312"/>
        <s v="TX502313"/>
        <s v="TX502314"/>
        <s v="TX502315"/>
        <s v="TX502316"/>
        <s v="TX502317"/>
        <s v="TX502318"/>
        <s v="TX502319"/>
        <s v="TX502320"/>
        <s v="TX502321"/>
        <s v="TX502322"/>
        <s v="TX502323"/>
        <s v="TX502324"/>
        <s v="TX502325"/>
        <s v="TX502326"/>
        <s v="TX502327"/>
        <s v="TX502328"/>
        <s v="TX502329"/>
        <s v="TX502330"/>
        <s v="TX502331"/>
        <s v="TX502332"/>
        <s v="TX502333"/>
        <s v="TX502334"/>
        <s v="TX502335"/>
        <s v="TX502336"/>
        <s v="TX502337"/>
        <s v="TX502338"/>
        <s v="TX502339"/>
        <s v="TX502340"/>
        <s v="TX502341"/>
        <s v="TX502342"/>
        <s v="TX502343"/>
        <s v="TX502344"/>
        <s v="TX502345"/>
        <s v="TX502346"/>
        <s v="TX502347"/>
        <s v="TX502348"/>
        <s v="TX502349"/>
        <s v="TX502350"/>
        <s v="TX502351"/>
        <s v="TX502352"/>
        <s v="TX502353"/>
        <s v="TX502354"/>
        <s v="TX502355"/>
        <s v="TX502356"/>
        <s v="TX502357"/>
        <s v="TX502358"/>
        <s v="TX502359"/>
        <s v="TX502360"/>
        <s v="TX502361"/>
        <s v="TX502362"/>
        <s v="TX502363"/>
        <s v="TX502364"/>
        <s v="TX502365"/>
        <s v="TX502366"/>
        <s v="TX502367"/>
        <s v="TX502368"/>
        <s v="TX502369"/>
        <s v="TX502370"/>
        <s v="TX502371"/>
        <s v="TX502372"/>
        <s v="TX502373"/>
        <s v="TX502374"/>
        <s v="TX502375"/>
        <s v="TX502376"/>
        <s v="TX502377"/>
        <s v="TX502378"/>
        <s v="TX502379"/>
        <s v="TX502380"/>
        <s v="TX502381"/>
        <s v="TX502382"/>
        <s v="TX502383"/>
        <s v="TX502384"/>
        <s v="TX502385"/>
        <s v="TX502386"/>
        <s v="TX502387"/>
        <s v="TX502388"/>
        <s v="TX502389"/>
        <s v="TX502390"/>
        <s v="TX502391"/>
        <s v="TX502392"/>
        <s v="TX502393"/>
        <s v="TX502394"/>
        <s v="TX502395"/>
        <s v="TX502396"/>
        <s v="TX502397"/>
        <s v="TX502398"/>
        <s v="TX502399"/>
        <s v="TX502400"/>
      </sharedItems>
    </cacheField>
    <cacheField name="Product" numFmtId="0">
      <sharedItems count="20">
        <s v="Shorts"/>
        <s v="Tank Tops"/>
        <s v="Sneakers"/>
        <s v="Workout Tops"/>
        <s v="Graphic Tees"/>
        <s v="Sandals"/>
        <s v="Jeans"/>
        <s v="Hoodies &amp; Sweatshirts"/>
        <s v="T-Shirts"/>
        <s v="Sundresses"/>
        <s v="Bikinis"/>
        <s v="Maxi Dresses"/>
        <s v="Casual Dresses"/>
        <s v="Tote Bags"/>
        <s v="Baseball Caps"/>
        <s v="Crop Tops"/>
        <s v="Sunglasses"/>
        <s v="Pajama Sets"/>
        <s v="Leggings"/>
        <s v="Jewelry"/>
      </sharedItems>
    </cacheField>
    <cacheField name="Quantity" numFmtId="0">
      <sharedItems containsSemiMixedTypes="0" containsString="0" containsNumber="1" containsInteger="1" minValue="1" maxValue="87" count="48">
        <n v="1"/>
        <n v="2"/>
        <n v="3"/>
        <n v="7"/>
        <n v="12"/>
        <n v="11"/>
        <n v="27"/>
        <n v="10"/>
        <n v="8"/>
        <n v="5"/>
        <n v="19"/>
        <n v="9"/>
        <n v="4"/>
        <n v="6"/>
        <n v="17"/>
        <n v="13"/>
        <n v="18"/>
        <n v="30"/>
        <n v="26"/>
        <n v="29"/>
        <n v="15"/>
        <n v="14"/>
        <n v="62"/>
        <n v="43"/>
        <n v="41"/>
        <n v="24"/>
        <n v="49"/>
        <n v="16"/>
        <n v="20"/>
        <n v="40"/>
        <n v="25"/>
        <n v="28"/>
        <n v="22"/>
        <n v="34"/>
        <n v="36"/>
        <n v="47"/>
        <n v="35"/>
        <n v="31"/>
        <n v="21"/>
        <n v="42"/>
        <n v="33"/>
        <n v="45"/>
        <n v="63"/>
        <n v="38"/>
        <n v="23"/>
        <n v="87"/>
        <n v="32"/>
        <n v="70"/>
      </sharedItems>
      <fieldGroup par="15"/>
    </cacheField>
    <cacheField name="Unit Price" numFmtId="0">
      <sharedItems containsSemiMixedTypes="0" containsString="0" containsNumber="1" minValue="10.199999999999999" maxValue="234.7"/>
    </cacheField>
    <cacheField name="Amount" numFmtId="0">
      <sharedItems containsSemiMixedTypes="0" containsString="0" containsNumber="1" minValue="10.9" maxValue="7446.6"/>
    </cacheField>
    <cacheField name="Order Date" numFmtId="0">
      <sharedItems containsSemiMixedTypes="0" containsNonDate="0" containsDate="1" containsString="0" minDate="2025-01-01T00:00:00" maxDate="2025-03-30T00:00:00" count="88">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sharedItems>
      <fieldGroup par="17"/>
    </cacheField>
    <cacheField name="OrderDate_Week of Year" numFmtId="0">
      <sharedItems containsSemiMixedTypes="0" containsString="0" containsNumber="1" containsInteger="1" minValue="1" maxValue="13" count="13">
        <n v="1"/>
        <n v="2"/>
        <n v="3"/>
        <n v="4"/>
        <n v="5"/>
        <n v="6"/>
        <n v="7"/>
        <n v="8"/>
        <n v="9"/>
        <n v="10"/>
        <n v="11"/>
        <n v="12"/>
        <n v="13"/>
      </sharedItems>
    </cacheField>
    <cacheField name="Ship Date" numFmtId="0">
      <sharedItems containsSemiMixedTypes="0" containsNonDate="0" containsDate="1" containsString="0" minDate="2025-01-02T00:00:00" maxDate="2025-04-11T00:00:00"/>
    </cacheField>
    <cacheField name="Days_to_Deliver" numFmtId="0">
      <sharedItems containsSemiMixedTypes="0" containsString="0" containsNumber="1" containsInteger="1" minValue="0" maxValue="14" count="15">
        <n v="5"/>
        <n v="2"/>
        <n v="3"/>
        <n v="1"/>
        <n v="6"/>
        <n v="4"/>
        <n v="7"/>
        <n v="0"/>
        <n v="9"/>
        <n v="8"/>
        <n v="13"/>
        <n v="11"/>
        <n v="14"/>
        <n v="12"/>
        <n v="10"/>
      </sharedItems>
    </cacheField>
    <cacheField name="Customer Gender" numFmtId="0">
      <sharedItems count="4">
        <s v=""/>
        <s v="M"/>
        <s v="F"/>
        <s v="O"/>
      </sharedItems>
    </cacheField>
    <cacheField name="Gender" numFmtId="0">
      <sharedItems count="4">
        <s v="Unknown"/>
        <s v="Male"/>
        <s v="Female"/>
        <s v="Other"/>
      </sharedItems>
    </cacheField>
    <cacheField name="Order Mode" numFmtId="0">
      <sharedItems count="5">
        <s v="App"/>
        <s v="Website"/>
        <s v="Target.com"/>
        <s v="Instagram"/>
        <s v="Partner App"/>
      </sharedItems>
    </cacheField>
    <cacheField name="Rating C" numFmtId="0">
      <sharedItems containsSemiMixedTypes="0" containsString="0" containsNumber="1" containsInteger="1" minValue="1" maxValue="5" count="5">
        <n v="4"/>
        <n v="3"/>
        <n v="5"/>
        <n v="1"/>
        <n v="2"/>
      </sharedItems>
    </cacheField>
    <cacheField name="State" numFmtId="0">
      <sharedItems count="1">
        <s v="California"/>
      </sharedItems>
    </cacheField>
    <cacheField name="County" numFmtId="0">
      <sharedItems count="58">
        <s v="Alpine County"/>
        <s v="Contra Costa County"/>
        <s v="Fresno County"/>
        <s v="Los Angeles County"/>
        <s v="Nevada County"/>
        <s v="Placer County"/>
        <s v="Sacramento County"/>
        <s v="San Bernardino County"/>
        <s v="San Diego County"/>
        <s v="San Mateo County"/>
        <s v="Santa Barbara County"/>
        <s v="Santa Clara County"/>
        <s v="Tehama County"/>
        <s v="Ventura County"/>
        <s v="Calaveras County"/>
        <s v="Inyo County"/>
        <s v="Napa County"/>
        <s v="San Francisco"/>
        <s v="Sonoma County"/>
        <s v="Stanislaus County"/>
        <s v="Tulare County"/>
        <s v="Alameda County"/>
        <s v="Kern County"/>
        <s v="Riverside County"/>
        <s v="Merced County"/>
        <s v="Orange County"/>
        <s v="San Joaquin County"/>
        <s v="Glenn County"/>
        <s v="Yolo County"/>
        <s v="Mendocino County"/>
        <s v="Siskiyou County"/>
        <s v="Sutter County"/>
        <s v="Santa Cruz County"/>
        <s v="Imperial County"/>
        <s v="Kings County"/>
        <s v="Plumas County"/>
        <s v="San Benito County"/>
        <s v="Madera County"/>
        <s v="Solano County"/>
        <s v="Modoc County"/>
        <s v="Mariposa County"/>
        <s v="San Luis Obispo County"/>
        <s v="El Dorado County"/>
        <s v="Marin County"/>
        <s v="Humboldt County"/>
        <s v="Trinity County"/>
        <s v="Amador County"/>
        <s v="Mono County"/>
        <s v="Sierra County"/>
        <s v="Monterey County"/>
        <s v="Lake County"/>
        <s v="Butte County"/>
        <s v="Tuolumne County"/>
        <s v="Shasta County"/>
        <s v="Colusa County"/>
        <s v="Lassen County"/>
        <s v="Yuba County"/>
        <s v="Del Norte County"/>
      </sharedItems>
    </cacheField>
    <cacheField name="Quantity2" numFmtId="0" databaseField="0">
      <fieldGroup base="2">
        <discretePr count="48">
          <x v="0"/>
          <x v="1"/>
          <x v="2"/>
          <x v="5"/>
          <x v="6"/>
          <x v="6"/>
          <x v="6"/>
          <x v="5"/>
          <x v="5"/>
          <x v="3"/>
          <x v="6"/>
          <x v="5"/>
          <x v="4"/>
          <x v="5"/>
          <x v="6"/>
          <x v="6"/>
          <x v="6"/>
          <x v="6"/>
          <x v="6"/>
          <x v="6"/>
          <x v="6"/>
          <x v="6"/>
          <x v="6"/>
          <x v="6"/>
          <x v="6"/>
          <x v="6"/>
          <x v="6"/>
          <x v="6"/>
          <x v="6"/>
          <x v="6"/>
          <x v="6"/>
          <x v="6"/>
          <x v="6"/>
          <x v="6"/>
          <x v="6"/>
          <x v="6"/>
          <x v="6"/>
          <x v="6"/>
          <x v="6"/>
          <x v="6"/>
          <x v="6"/>
          <x v="6"/>
          <x v="6"/>
          <x v="6"/>
          <x v="6"/>
          <x v="6"/>
          <x v="6"/>
          <x v="6"/>
        </discretePr>
        <groupItems count="7">
          <n v="1"/>
          <n v="2"/>
          <n v="3"/>
          <n v="5"/>
          <n v="4"/>
          <s v="Group1"/>
          <s v="Group2"/>
        </groupItems>
      </fieldGroup>
    </cacheField>
    <cacheField name="Days (Order Date)" numFmtId="0" databaseField="0">
      <fieldGroup base="5">
        <rangePr groupBy="days" startDate="2025-01-01T00:00:00" endDate="2025-03-30T00:00:00"/>
        <groupItems count="368">
          <s v="&lt;1/1/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3/30/2025"/>
        </groupItems>
      </fieldGroup>
    </cacheField>
    <cacheField name="Months (Order Date)" numFmtId="0" databaseField="0">
      <fieldGroup base="5">
        <rangePr groupBy="months" startDate="2025-01-01T00:00:00" endDate="2025-03-30T00:00:00"/>
        <groupItems count="14">
          <s v="&lt;1/1/2025"/>
          <s v="Jan"/>
          <s v="Feb"/>
          <s v="Mar"/>
          <s v="Apr"/>
          <s v="May"/>
          <s v="Jun"/>
          <s v="Jul"/>
          <s v="Aug"/>
          <s v="Sep"/>
          <s v="Oct"/>
          <s v="Nov"/>
          <s v="Dec"/>
          <s v="&gt;3/30/2025"/>
        </groupItems>
      </fieldGroup>
    </cacheField>
  </cacheFields>
  <extLst>
    <ext xmlns:x14="http://schemas.microsoft.com/office/spreadsheetml/2009/9/main" uri="{725AE2AE-9491-48be-B2B4-4EB974FC3084}">
      <x14:pivotCacheDefinition pivotCacheId="1826124132"/>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0">
  <r>
    <x v="0"/>
    <x v="0"/>
    <x v="0"/>
    <n v="10.9"/>
    <n v="10.9"/>
    <x v="0"/>
    <x v="0"/>
    <d v="2025-01-06T00:00:00"/>
    <x v="0"/>
    <x v="0"/>
    <x v="0"/>
    <x v="0"/>
    <x v="0"/>
    <x v="0"/>
    <x v="0"/>
  </r>
  <r>
    <x v="1"/>
    <x v="1"/>
    <x v="1"/>
    <n v="30.6"/>
    <n v="61.2"/>
    <x v="0"/>
    <x v="0"/>
    <d v="2025-01-03T00:00:00"/>
    <x v="1"/>
    <x v="1"/>
    <x v="1"/>
    <x v="0"/>
    <x v="0"/>
    <x v="0"/>
    <x v="1"/>
  </r>
  <r>
    <x v="2"/>
    <x v="2"/>
    <x v="2"/>
    <n v="109.4"/>
    <n v="328.20000000000005"/>
    <x v="0"/>
    <x v="0"/>
    <d v="2025-01-04T00:00:00"/>
    <x v="2"/>
    <x v="2"/>
    <x v="2"/>
    <x v="0"/>
    <x v="1"/>
    <x v="0"/>
    <x v="2"/>
  </r>
  <r>
    <x v="3"/>
    <x v="3"/>
    <x v="3"/>
    <n v="37.700000000000003"/>
    <n v="263.90000000000003"/>
    <x v="0"/>
    <x v="0"/>
    <d v="2025-01-02T00:00:00"/>
    <x v="3"/>
    <x v="2"/>
    <x v="2"/>
    <x v="0"/>
    <x v="0"/>
    <x v="0"/>
    <x v="2"/>
  </r>
  <r>
    <x v="4"/>
    <x v="4"/>
    <x v="2"/>
    <n v="56.7"/>
    <n v="170.10000000000002"/>
    <x v="0"/>
    <x v="0"/>
    <d v="2025-01-04T00:00:00"/>
    <x v="2"/>
    <x v="2"/>
    <x v="2"/>
    <x v="0"/>
    <x v="2"/>
    <x v="0"/>
    <x v="3"/>
  </r>
  <r>
    <x v="5"/>
    <x v="1"/>
    <x v="4"/>
    <n v="83.5"/>
    <n v="1002"/>
    <x v="0"/>
    <x v="0"/>
    <d v="2025-01-04T00:00:00"/>
    <x v="2"/>
    <x v="1"/>
    <x v="1"/>
    <x v="1"/>
    <x v="0"/>
    <x v="0"/>
    <x v="3"/>
  </r>
  <r>
    <x v="6"/>
    <x v="5"/>
    <x v="0"/>
    <n v="55.3"/>
    <n v="55.3"/>
    <x v="0"/>
    <x v="0"/>
    <d v="2025-01-02T00:00:00"/>
    <x v="3"/>
    <x v="2"/>
    <x v="2"/>
    <x v="0"/>
    <x v="0"/>
    <x v="0"/>
    <x v="3"/>
  </r>
  <r>
    <x v="7"/>
    <x v="6"/>
    <x v="1"/>
    <n v="40.299999999999997"/>
    <n v="80.599999999999994"/>
    <x v="0"/>
    <x v="0"/>
    <d v="2025-01-02T00:00:00"/>
    <x v="3"/>
    <x v="1"/>
    <x v="1"/>
    <x v="2"/>
    <x v="2"/>
    <x v="0"/>
    <x v="3"/>
  </r>
  <r>
    <x v="8"/>
    <x v="7"/>
    <x v="5"/>
    <n v="35.700000000000003"/>
    <n v="392.70000000000005"/>
    <x v="0"/>
    <x v="0"/>
    <d v="2025-01-02T00:00:00"/>
    <x v="3"/>
    <x v="2"/>
    <x v="2"/>
    <x v="0"/>
    <x v="0"/>
    <x v="0"/>
    <x v="3"/>
  </r>
  <r>
    <x v="9"/>
    <x v="8"/>
    <x v="3"/>
    <n v="22.4"/>
    <n v="156.79999999999998"/>
    <x v="0"/>
    <x v="0"/>
    <d v="2025-01-04T00:00:00"/>
    <x v="2"/>
    <x v="1"/>
    <x v="1"/>
    <x v="0"/>
    <x v="1"/>
    <x v="0"/>
    <x v="3"/>
  </r>
  <r>
    <x v="10"/>
    <x v="9"/>
    <x v="1"/>
    <n v="54.4"/>
    <n v="108.8"/>
    <x v="0"/>
    <x v="0"/>
    <d v="2025-01-07T00:00:00"/>
    <x v="4"/>
    <x v="2"/>
    <x v="2"/>
    <x v="0"/>
    <x v="0"/>
    <x v="0"/>
    <x v="3"/>
  </r>
  <r>
    <x v="11"/>
    <x v="9"/>
    <x v="1"/>
    <n v="49"/>
    <n v="98"/>
    <x v="0"/>
    <x v="0"/>
    <d v="2025-01-03T00:00:00"/>
    <x v="1"/>
    <x v="2"/>
    <x v="2"/>
    <x v="2"/>
    <x v="1"/>
    <x v="0"/>
    <x v="3"/>
  </r>
  <r>
    <x v="12"/>
    <x v="5"/>
    <x v="3"/>
    <n v="118.6"/>
    <n v="830.19999999999993"/>
    <x v="0"/>
    <x v="0"/>
    <d v="2025-01-05T00:00:00"/>
    <x v="5"/>
    <x v="2"/>
    <x v="2"/>
    <x v="1"/>
    <x v="0"/>
    <x v="0"/>
    <x v="4"/>
  </r>
  <r>
    <x v="13"/>
    <x v="6"/>
    <x v="6"/>
    <n v="88.4"/>
    <n v="2386.8000000000002"/>
    <x v="0"/>
    <x v="0"/>
    <d v="2025-01-08T00:00:00"/>
    <x v="6"/>
    <x v="1"/>
    <x v="1"/>
    <x v="3"/>
    <x v="0"/>
    <x v="0"/>
    <x v="5"/>
  </r>
  <r>
    <x v="14"/>
    <x v="10"/>
    <x v="0"/>
    <n v="66.7"/>
    <n v="66.7"/>
    <x v="0"/>
    <x v="0"/>
    <d v="2025-01-04T00:00:00"/>
    <x v="2"/>
    <x v="1"/>
    <x v="1"/>
    <x v="0"/>
    <x v="0"/>
    <x v="0"/>
    <x v="6"/>
  </r>
  <r>
    <x v="15"/>
    <x v="9"/>
    <x v="7"/>
    <n v="30.9"/>
    <n v="309"/>
    <x v="0"/>
    <x v="0"/>
    <d v="2025-01-02T00:00:00"/>
    <x v="3"/>
    <x v="1"/>
    <x v="1"/>
    <x v="1"/>
    <x v="2"/>
    <x v="0"/>
    <x v="6"/>
  </r>
  <r>
    <x v="16"/>
    <x v="4"/>
    <x v="2"/>
    <n v="31.1"/>
    <n v="93.300000000000011"/>
    <x v="0"/>
    <x v="0"/>
    <d v="2025-01-02T00:00:00"/>
    <x v="3"/>
    <x v="2"/>
    <x v="2"/>
    <x v="0"/>
    <x v="1"/>
    <x v="0"/>
    <x v="6"/>
  </r>
  <r>
    <x v="17"/>
    <x v="7"/>
    <x v="2"/>
    <n v="36.6"/>
    <n v="109.80000000000001"/>
    <x v="0"/>
    <x v="0"/>
    <d v="2025-01-04T00:00:00"/>
    <x v="2"/>
    <x v="2"/>
    <x v="2"/>
    <x v="0"/>
    <x v="0"/>
    <x v="0"/>
    <x v="7"/>
  </r>
  <r>
    <x v="18"/>
    <x v="6"/>
    <x v="8"/>
    <n v="51.1"/>
    <n v="408.8"/>
    <x v="0"/>
    <x v="0"/>
    <d v="2025-01-04T00:00:00"/>
    <x v="2"/>
    <x v="2"/>
    <x v="2"/>
    <x v="2"/>
    <x v="3"/>
    <x v="0"/>
    <x v="7"/>
  </r>
  <r>
    <x v="19"/>
    <x v="9"/>
    <x v="0"/>
    <n v="25.2"/>
    <n v="25.2"/>
    <x v="0"/>
    <x v="0"/>
    <d v="2025-01-02T00:00:00"/>
    <x v="3"/>
    <x v="2"/>
    <x v="2"/>
    <x v="1"/>
    <x v="2"/>
    <x v="0"/>
    <x v="8"/>
  </r>
  <r>
    <x v="20"/>
    <x v="9"/>
    <x v="9"/>
    <n v="43.8"/>
    <n v="219"/>
    <x v="0"/>
    <x v="0"/>
    <d v="2025-01-04T00:00:00"/>
    <x v="2"/>
    <x v="2"/>
    <x v="2"/>
    <x v="2"/>
    <x v="0"/>
    <x v="0"/>
    <x v="8"/>
  </r>
  <r>
    <x v="21"/>
    <x v="8"/>
    <x v="4"/>
    <n v="46.7"/>
    <n v="560.40000000000009"/>
    <x v="0"/>
    <x v="0"/>
    <d v="2025-01-02T00:00:00"/>
    <x v="3"/>
    <x v="2"/>
    <x v="2"/>
    <x v="1"/>
    <x v="1"/>
    <x v="0"/>
    <x v="8"/>
  </r>
  <r>
    <x v="22"/>
    <x v="3"/>
    <x v="10"/>
    <n v="79.900000000000006"/>
    <n v="1518.1000000000001"/>
    <x v="0"/>
    <x v="0"/>
    <d v="2025-01-02T00:00:00"/>
    <x v="3"/>
    <x v="1"/>
    <x v="1"/>
    <x v="0"/>
    <x v="2"/>
    <x v="0"/>
    <x v="8"/>
  </r>
  <r>
    <x v="23"/>
    <x v="11"/>
    <x v="8"/>
    <n v="26.4"/>
    <n v="211.2"/>
    <x v="0"/>
    <x v="0"/>
    <d v="2025-01-02T00:00:00"/>
    <x v="3"/>
    <x v="2"/>
    <x v="2"/>
    <x v="3"/>
    <x v="0"/>
    <x v="0"/>
    <x v="8"/>
  </r>
  <r>
    <x v="24"/>
    <x v="12"/>
    <x v="8"/>
    <n v="88.8"/>
    <n v="710.4"/>
    <x v="0"/>
    <x v="0"/>
    <d v="2025-01-02T00:00:00"/>
    <x v="3"/>
    <x v="2"/>
    <x v="2"/>
    <x v="4"/>
    <x v="0"/>
    <x v="0"/>
    <x v="8"/>
  </r>
  <r>
    <x v="25"/>
    <x v="0"/>
    <x v="7"/>
    <n v="17.5"/>
    <n v="175"/>
    <x v="0"/>
    <x v="0"/>
    <d v="2025-01-02T00:00:00"/>
    <x v="3"/>
    <x v="2"/>
    <x v="2"/>
    <x v="2"/>
    <x v="0"/>
    <x v="0"/>
    <x v="9"/>
  </r>
  <r>
    <x v="26"/>
    <x v="1"/>
    <x v="11"/>
    <n v="38.700000000000003"/>
    <n v="348.3"/>
    <x v="0"/>
    <x v="0"/>
    <d v="2025-01-04T00:00:00"/>
    <x v="2"/>
    <x v="1"/>
    <x v="1"/>
    <x v="1"/>
    <x v="0"/>
    <x v="0"/>
    <x v="10"/>
  </r>
  <r>
    <x v="27"/>
    <x v="13"/>
    <x v="12"/>
    <n v="57.2"/>
    <n v="228.8"/>
    <x v="0"/>
    <x v="0"/>
    <d v="2025-01-03T00:00:00"/>
    <x v="1"/>
    <x v="0"/>
    <x v="0"/>
    <x v="1"/>
    <x v="2"/>
    <x v="0"/>
    <x v="11"/>
  </r>
  <r>
    <x v="28"/>
    <x v="6"/>
    <x v="9"/>
    <n v="50.9"/>
    <n v="254.5"/>
    <x v="0"/>
    <x v="0"/>
    <d v="2025-01-07T00:00:00"/>
    <x v="4"/>
    <x v="0"/>
    <x v="0"/>
    <x v="1"/>
    <x v="2"/>
    <x v="0"/>
    <x v="12"/>
  </r>
  <r>
    <x v="29"/>
    <x v="14"/>
    <x v="3"/>
    <n v="41"/>
    <n v="287"/>
    <x v="0"/>
    <x v="0"/>
    <d v="2025-01-05T00:00:00"/>
    <x v="5"/>
    <x v="2"/>
    <x v="2"/>
    <x v="1"/>
    <x v="0"/>
    <x v="0"/>
    <x v="13"/>
  </r>
  <r>
    <x v="30"/>
    <x v="8"/>
    <x v="3"/>
    <n v="19.100000000000001"/>
    <n v="133.70000000000002"/>
    <x v="0"/>
    <x v="0"/>
    <d v="2025-01-05T00:00:00"/>
    <x v="5"/>
    <x v="1"/>
    <x v="1"/>
    <x v="0"/>
    <x v="2"/>
    <x v="0"/>
    <x v="14"/>
  </r>
  <r>
    <x v="31"/>
    <x v="2"/>
    <x v="9"/>
    <n v="166.1"/>
    <n v="830.5"/>
    <x v="0"/>
    <x v="0"/>
    <d v="2025-01-04T00:00:00"/>
    <x v="2"/>
    <x v="1"/>
    <x v="1"/>
    <x v="0"/>
    <x v="0"/>
    <x v="0"/>
    <x v="15"/>
  </r>
  <r>
    <x v="32"/>
    <x v="4"/>
    <x v="2"/>
    <n v="29.9"/>
    <n v="89.699999999999989"/>
    <x v="0"/>
    <x v="0"/>
    <d v="2025-01-02T00:00:00"/>
    <x v="3"/>
    <x v="1"/>
    <x v="1"/>
    <x v="3"/>
    <x v="0"/>
    <x v="0"/>
    <x v="3"/>
  </r>
  <r>
    <x v="33"/>
    <x v="10"/>
    <x v="13"/>
    <n v="21.7"/>
    <n v="130.19999999999999"/>
    <x v="0"/>
    <x v="0"/>
    <d v="2025-01-03T00:00:00"/>
    <x v="1"/>
    <x v="3"/>
    <x v="3"/>
    <x v="2"/>
    <x v="2"/>
    <x v="0"/>
    <x v="3"/>
  </r>
  <r>
    <x v="34"/>
    <x v="11"/>
    <x v="1"/>
    <n v="32"/>
    <n v="64"/>
    <x v="0"/>
    <x v="0"/>
    <d v="2025-01-04T00:00:00"/>
    <x v="2"/>
    <x v="1"/>
    <x v="1"/>
    <x v="0"/>
    <x v="2"/>
    <x v="0"/>
    <x v="3"/>
  </r>
  <r>
    <x v="35"/>
    <x v="8"/>
    <x v="1"/>
    <n v="15.8"/>
    <n v="31.6"/>
    <x v="0"/>
    <x v="0"/>
    <d v="2025-01-02T00:00:00"/>
    <x v="3"/>
    <x v="1"/>
    <x v="1"/>
    <x v="4"/>
    <x v="2"/>
    <x v="0"/>
    <x v="3"/>
  </r>
  <r>
    <x v="36"/>
    <x v="2"/>
    <x v="14"/>
    <n v="203.1"/>
    <n v="3452.7"/>
    <x v="0"/>
    <x v="0"/>
    <d v="2025-01-05T00:00:00"/>
    <x v="5"/>
    <x v="1"/>
    <x v="1"/>
    <x v="3"/>
    <x v="1"/>
    <x v="0"/>
    <x v="3"/>
  </r>
  <r>
    <x v="37"/>
    <x v="7"/>
    <x v="15"/>
    <n v="39"/>
    <n v="507"/>
    <x v="0"/>
    <x v="0"/>
    <d v="2025-01-07T00:00:00"/>
    <x v="4"/>
    <x v="1"/>
    <x v="1"/>
    <x v="0"/>
    <x v="2"/>
    <x v="0"/>
    <x v="3"/>
  </r>
  <r>
    <x v="38"/>
    <x v="10"/>
    <x v="0"/>
    <n v="26.5"/>
    <n v="26.5"/>
    <x v="1"/>
    <x v="0"/>
    <d v="2025-01-03T00:00:00"/>
    <x v="3"/>
    <x v="1"/>
    <x v="1"/>
    <x v="2"/>
    <x v="0"/>
    <x v="0"/>
    <x v="3"/>
  </r>
  <r>
    <x v="39"/>
    <x v="5"/>
    <x v="0"/>
    <n v="43.1"/>
    <n v="43.1"/>
    <x v="1"/>
    <x v="0"/>
    <d v="2025-01-03T00:00:00"/>
    <x v="3"/>
    <x v="2"/>
    <x v="2"/>
    <x v="2"/>
    <x v="1"/>
    <x v="0"/>
    <x v="3"/>
  </r>
  <r>
    <x v="40"/>
    <x v="1"/>
    <x v="2"/>
    <n v="139"/>
    <n v="417"/>
    <x v="1"/>
    <x v="0"/>
    <d v="2025-01-03T00:00:00"/>
    <x v="3"/>
    <x v="2"/>
    <x v="2"/>
    <x v="4"/>
    <x v="2"/>
    <x v="0"/>
    <x v="3"/>
  </r>
  <r>
    <x v="41"/>
    <x v="12"/>
    <x v="0"/>
    <n v="80.7"/>
    <n v="80.7"/>
    <x v="1"/>
    <x v="0"/>
    <d v="2025-01-03T00:00:00"/>
    <x v="3"/>
    <x v="1"/>
    <x v="1"/>
    <x v="0"/>
    <x v="2"/>
    <x v="0"/>
    <x v="16"/>
  </r>
  <r>
    <x v="42"/>
    <x v="4"/>
    <x v="1"/>
    <n v="54.5"/>
    <n v="109"/>
    <x v="1"/>
    <x v="0"/>
    <d v="2025-01-04T00:00:00"/>
    <x v="1"/>
    <x v="1"/>
    <x v="1"/>
    <x v="1"/>
    <x v="1"/>
    <x v="0"/>
    <x v="6"/>
  </r>
  <r>
    <x v="43"/>
    <x v="6"/>
    <x v="2"/>
    <n v="68.599999999999994"/>
    <n v="205.79999999999998"/>
    <x v="1"/>
    <x v="0"/>
    <d v="2025-01-02T00:00:00"/>
    <x v="7"/>
    <x v="2"/>
    <x v="2"/>
    <x v="0"/>
    <x v="1"/>
    <x v="0"/>
    <x v="8"/>
  </r>
  <r>
    <x v="44"/>
    <x v="2"/>
    <x v="12"/>
    <n v="135.9"/>
    <n v="543.6"/>
    <x v="1"/>
    <x v="0"/>
    <d v="2025-01-03T00:00:00"/>
    <x v="3"/>
    <x v="2"/>
    <x v="2"/>
    <x v="2"/>
    <x v="2"/>
    <x v="0"/>
    <x v="8"/>
  </r>
  <r>
    <x v="45"/>
    <x v="2"/>
    <x v="12"/>
    <n v="70.900000000000006"/>
    <n v="283.60000000000002"/>
    <x v="1"/>
    <x v="0"/>
    <d v="2025-01-03T00:00:00"/>
    <x v="3"/>
    <x v="2"/>
    <x v="2"/>
    <x v="0"/>
    <x v="0"/>
    <x v="0"/>
    <x v="17"/>
  </r>
  <r>
    <x v="46"/>
    <x v="1"/>
    <x v="9"/>
    <n v="63.7"/>
    <n v="318.5"/>
    <x v="1"/>
    <x v="0"/>
    <d v="2025-01-03T00:00:00"/>
    <x v="3"/>
    <x v="1"/>
    <x v="1"/>
    <x v="1"/>
    <x v="1"/>
    <x v="0"/>
    <x v="9"/>
  </r>
  <r>
    <x v="47"/>
    <x v="13"/>
    <x v="0"/>
    <n v="29.7"/>
    <n v="29.7"/>
    <x v="1"/>
    <x v="0"/>
    <d v="2025-01-04T00:00:00"/>
    <x v="1"/>
    <x v="2"/>
    <x v="2"/>
    <x v="1"/>
    <x v="0"/>
    <x v="0"/>
    <x v="11"/>
  </r>
  <r>
    <x v="48"/>
    <x v="4"/>
    <x v="2"/>
    <n v="26.8"/>
    <n v="80.400000000000006"/>
    <x v="1"/>
    <x v="0"/>
    <d v="2025-01-11T00:00:00"/>
    <x v="8"/>
    <x v="2"/>
    <x v="2"/>
    <x v="1"/>
    <x v="2"/>
    <x v="0"/>
    <x v="11"/>
  </r>
  <r>
    <x v="49"/>
    <x v="14"/>
    <x v="0"/>
    <n v="27"/>
    <n v="27"/>
    <x v="1"/>
    <x v="0"/>
    <d v="2025-01-04T00:00:00"/>
    <x v="1"/>
    <x v="2"/>
    <x v="2"/>
    <x v="0"/>
    <x v="0"/>
    <x v="0"/>
    <x v="18"/>
  </r>
  <r>
    <x v="50"/>
    <x v="8"/>
    <x v="0"/>
    <n v="41.4"/>
    <n v="41.4"/>
    <x v="1"/>
    <x v="0"/>
    <d v="2025-01-03T00:00:00"/>
    <x v="3"/>
    <x v="1"/>
    <x v="1"/>
    <x v="1"/>
    <x v="2"/>
    <x v="0"/>
    <x v="19"/>
  </r>
  <r>
    <x v="51"/>
    <x v="8"/>
    <x v="1"/>
    <n v="24.3"/>
    <n v="48.6"/>
    <x v="1"/>
    <x v="0"/>
    <d v="2025-01-05T00:00:00"/>
    <x v="2"/>
    <x v="2"/>
    <x v="2"/>
    <x v="1"/>
    <x v="0"/>
    <x v="0"/>
    <x v="19"/>
  </r>
  <r>
    <x v="52"/>
    <x v="8"/>
    <x v="2"/>
    <n v="41.7"/>
    <n v="125.10000000000001"/>
    <x v="1"/>
    <x v="0"/>
    <d v="2025-01-04T00:00:00"/>
    <x v="1"/>
    <x v="1"/>
    <x v="1"/>
    <x v="0"/>
    <x v="2"/>
    <x v="0"/>
    <x v="20"/>
  </r>
  <r>
    <x v="53"/>
    <x v="0"/>
    <x v="1"/>
    <n v="18"/>
    <n v="36"/>
    <x v="1"/>
    <x v="0"/>
    <d v="2025-01-03T00:00:00"/>
    <x v="3"/>
    <x v="2"/>
    <x v="2"/>
    <x v="0"/>
    <x v="2"/>
    <x v="0"/>
    <x v="21"/>
  </r>
  <r>
    <x v="54"/>
    <x v="7"/>
    <x v="2"/>
    <n v="91.3"/>
    <n v="273.89999999999998"/>
    <x v="1"/>
    <x v="0"/>
    <d v="2025-01-05T00:00:00"/>
    <x v="2"/>
    <x v="1"/>
    <x v="1"/>
    <x v="2"/>
    <x v="2"/>
    <x v="0"/>
    <x v="3"/>
  </r>
  <r>
    <x v="55"/>
    <x v="8"/>
    <x v="8"/>
    <n v="19.3"/>
    <n v="154.4"/>
    <x v="1"/>
    <x v="0"/>
    <d v="2025-01-03T00:00:00"/>
    <x v="3"/>
    <x v="1"/>
    <x v="1"/>
    <x v="0"/>
    <x v="0"/>
    <x v="0"/>
    <x v="3"/>
  </r>
  <r>
    <x v="56"/>
    <x v="12"/>
    <x v="15"/>
    <n v="63.2"/>
    <n v="821.6"/>
    <x v="1"/>
    <x v="0"/>
    <d v="2025-01-03T00:00:00"/>
    <x v="3"/>
    <x v="2"/>
    <x v="2"/>
    <x v="0"/>
    <x v="0"/>
    <x v="0"/>
    <x v="3"/>
  </r>
  <r>
    <x v="57"/>
    <x v="10"/>
    <x v="11"/>
    <n v="33.299999999999997"/>
    <n v="299.7"/>
    <x v="2"/>
    <x v="0"/>
    <d v="2025-01-11T00:00:00"/>
    <x v="9"/>
    <x v="2"/>
    <x v="2"/>
    <x v="0"/>
    <x v="2"/>
    <x v="0"/>
    <x v="3"/>
  </r>
  <r>
    <x v="58"/>
    <x v="7"/>
    <x v="1"/>
    <n v="64.2"/>
    <n v="128.4"/>
    <x v="2"/>
    <x v="0"/>
    <d v="2025-01-04T00:00:00"/>
    <x v="3"/>
    <x v="1"/>
    <x v="1"/>
    <x v="0"/>
    <x v="2"/>
    <x v="0"/>
    <x v="3"/>
  </r>
  <r>
    <x v="59"/>
    <x v="9"/>
    <x v="2"/>
    <n v="23.1"/>
    <n v="69.300000000000011"/>
    <x v="2"/>
    <x v="0"/>
    <d v="2025-01-06T00:00:00"/>
    <x v="2"/>
    <x v="2"/>
    <x v="2"/>
    <x v="1"/>
    <x v="2"/>
    <x v="0"/>
    <x v="3"/>
  </r>
  <r>
    <x v="60"/>
    <x v="15"/>
    <x v="1"/>
    <n v="71.099999999999994"/>
    <n v="142.19999999999999"/>
    <x v="2"/>
    <x v="0"/>
    <d v="2025-01-05T00:00:00"/>
    <x v="1"/>
    <x v="2"/>
    <x v="2"/>
    <x v="3"/>
    <x v="1"/>
    <x v="0"/>
    <x v="3"/>
  </r>
  <r>
    <x v="61"/>
    <x v="0"/>
    <x v="1"/>
    <n v="11.5"/>
    <n v="23"/>
    <x v="2"/>
    <x v="0"/>
    <d v="2025-01-04T00:00:00"/>
    <x v="3"/>
    <x v="2"/>
    <x v="2"/>
    <x v="0"/>
    <x v="0"/>
    <x v="0"/>
    <x v="3"/>
  </r>
  <r>
    <x v="62"/>
    <x v="15"/>
    <x v="10"/>
    <n v="69.2"/>
    <n v="1314.8"/>
    <x v="2"/>
    <x v="0"/>
    <d v="2025-01-08T00:00:00"/>
    <x v="0"/>
    <x v="2"/>
    <x v="2"/>
    <x v="0"/>
    <x v="0"/>
    <x v="0"/>
    <x v="3"/>
  </r>
  <r>
    <x v="63"/>
    <x v="0"/>
    <x v="0"/>
    <n v="26.8"/>
    <n v="26.8"/>
    <x v="2"/>
    <x v="0"/>
    <d v="2025-01-04T00:00:00"/>
    <x v="3"/>
    <x v="1"/>
    <x v="1"/>
    <x v="2"/>
    <x v="4"/>
    <x v="0"/>
    <x v="3"/>
  </r>
  <r>
    <x v="64"/>
    <x v="16"/>
    <x v="2"/>
    <n v="31.2"/>
    <n v="93.6"/>
    <x v="2"/>
    <x v="0"/>
    <d v="2025-01-06T00:00:00"/>
    <x v="2"/>
    <x v="2"/>
    <x v="2"/>
    <x v="0"/>
    <x v="0"/>
    <x v="0"/>
    <x v="3"/>
  </r>
  <r>
    <x v="65"/>
    <x v="12"/>
    <x v="1"/>
    <n v="113.2"/>
    <n v="226.4"/>
    <x v="2"/>
    <x v="0"/>
    <d v="2025-01-04T00:00:00"/>
    <x v="3"/>
    <x v="2"/>
    <x v="2"/>
    <x v="4"/>
    <x v="0"/>
    <x v="0"/>
    <x v="3"/>
  </r>
  <r>
    <x v="66"/>
    <x v="10"/>
    <x v="8"/>
    <n v="21"/>
    <n v="168"/>
    <x v="2"/>
    <x v="0"/>
    <d v="2025-01-04T00:00:00"/>
    <x v="3"/>
    <x v="1"/>
    <x v="1"/>
    <x v="0"/>
    <x v="0"/>
    <x v="0"/>
    <x v="6"/>
  </r>
  <r>
    <x v="67"/>
    <x v="1"/>
    <x v="1"/>
    <n v="89.1"/>
    <n v="178.2"/>
    <x v="2"/>
    <x v="0"/>
    <d v="2025-01-04T00:00:00"/>
    <x v="3"/>
    <x v="2"/>
    <x v="2"/>
    <x v="2"/>
    <x v="2"/>
    <x v="0"/>
    <x v="6"/>
  </r>
  <r>
    <x v="68"/>
    <x v="1"/>
    <x v="0"/>
    <n v="97.7"/>
    <n v="97.7"/>
    <x v="2"/>
    <x v="0"/>
    <d v="2025-01-05T00:00:00"/>
    <x v="1"/>
    <x v="2"/>
    <x v="2"/>
    <x v="0"/>
    <x v="1"/>
    <x v="0"/>
    <x v="6"/>
  </r>
  <r>
    <x v="69"/>
    <x v="15"/>
    <x v="12"/>
    <n v="97.7"/>
    <n v="390.8"/>
    <x v="2"/>
    <x v="0"/>
    <d v="2025-01-05T00:00:00"/>
    <x v="1"/>
    <x v="1"/>
    <x v="1"/>
    <x v="3"/>
    <x v="0"/>
    <x v="0"/>
    <x v="6"/>
  </r>
  <r>
    <x v="70"/>
    <x v="17"/>
    <x v="2"/>
    <n v="47.4"/>
    <n v="142.19999999999999"/>
    <x v="2"/>
    <x v="0"/>
    <d v="2025-01-06T00:00:00"/>
    <x v="2"/>
    <x v="1"/>
    <x v="1"/>
    <x v="3"/>
    <x v="2"/>
    <x v="0"/>
    <x v="8"/>
  </r>
  <r>
    <x v="71"/>
    <x v="7"/>
    <x v="0"/>
    <n v="89.6"/>
    <n v="89.6"/>
    <x v="2"/>
    <x v="0"/>
    <d v="2025-01-06T00:00:00"/>
    <x v="2"/>
    <x v="2"/>
    <x v="2"/>
    <x v="0"/>
    <x v="2"/>
    <x v="0"/>
    <x v="8"/>
  </r>
  <r>
    <x v="72"/>
    <x v="10"/>
    <x v="16"/>
    <n v="28.4"/>
    <n v="511.2"/>
    <x v="2"/>
    <x v="0"/>
    <d v="2025-01-06T00:00:00"/>
    <x v="2"/>
    <x v="2"/>
    <x v="2"/>
    <x v="3"/>
    <x v="2"/>
    <x v="0"/>
    <x v="17"/>
  </r>
  <r>
    <x v="73"/>
    <x v="0"/>
    <x v="1"/>
    <n v="17.899999999999999"/>
    <n v="35.799999999999997"/>
    <x v="2"/>
    <x v="0"/>
    <d v="2025-01-04T00:00:00"/>
    <x v="3"/>
    <x v="2"/>
    <x v="2"/>
    <x v="0"/>
    <x v="2"/>
    <x v="0"/>
    <x v="9"/>
  </r>
  <r>
    <x v="74"/>
    <x v="9"/>
    <x v="1"/>
    <n v="48.4"/>
    <n v="96.8"/>
    <x v="2"/>
    <x v="0"/>
    <d v="2025-01-06T00:00:00"/>
    <x v="2"/>
    <x v="1"/>
    <x v="1"/>
    <x v="1"/>
    <x v="0"/>
    <x v="0"/>
    <x v="9"/>
  </r>
  <r>
    <x v="75"/>
    <x v="12"/>
    <x v="12"/>
    <n v="44.4"/>
    <n v="177.6"/>
    <x v="2"/>
    <x v="0"/>
    <d v="2025-01-04T00:00:00"/>
    <x v="3"/>
    <x v="3"/>
    <x v="3"/>
    <x v="1"/>
    <x v="1"/>
    <x v="0"/>
    <x v="11"/>
  </r>
  <r>
    <x v="76"/>
    <x v="2"/>
    <x v="8"/>
    <n v="103.7"/>
    <n v="829.6"/>
    <x v="2"/>
    <x v="0"/>
    <d v="2025-01-04T00:00:00"/>
    <x v="3"/>
    <x v="2"/>
    <x v="2"/>
    <x v="0"/>
    <x v="1"/>
    <x v="0"/>
    <x v="19"/>
  </r>
  <r>
    <x v="77"/>
    <x v="5"/>
    <x v="12"/>
    <n v="58.6"/>
    <n v="234.4"/>
    <x v="2"/>
    <x v="0"/>
    <d v="2025-01-05T00:00:00"/>
    <x v="1"/>
    <x v="1"/>
    <x v="1"/>
    <x v="3"/>
    <x v="0"/>
    <x v="0"/>
    <x v="19"/>
  </r>
  <r>
    <x v="78"/>
    <x v="9"/>
    <x v="12"/>
    <n v="54.8"/>
    <n v="219.2"/>
    <x v="2"/>
    <x v="0"/>
    <d v="2025-01-07T00:00:00"/>
    <x v="5"/>
    <x v="2"/>
    <x v="2"/>
    <x v="2"/>
    <x v="1"/>
    <x v="0"/>
    <x v="13"/>
  </r>
  <r>
    <x v="79"/>
    <x v="12"/>
    <x v="2"/>
    <n v="78.8"/>
    <n v="236.39999999999998"/>
    <x v="2"/>
    <x v="0"/>
    <d v="2025-01-09T00:00:00"/>
    <x v="4"/>
    <x v="2"/>
    <x v="2"/>
    <x v="4"/>
    <x v="1"/>
    <x v="0"/>
    <x v="21"/>
  </r>
  <r>
    <x v="80"/>
    <x v="18"/>
    <x v="9"/>
    <n v="36.799999999999997"/>
    <n v="184"/>
    <x v="2"/>
    <x v="0"/>
    <d v="2025-01-06T00:00:00"/>
    <x v="2"/>
    <x v="1"/>
    <x v="1"/>
    <x v="4"/>
    <x v="1"/>
    <x v="0"/>
    <x v="22"/>
  </r>
  <r>
    <x v="81"/>
    <x v="6"/>
    <x v="13"/>
    <n v="50.6"/>
    <n v="303.60000000000002"/>
    <x v="2"/>
    <x v="0"/>
    <d v="2025-01-05T00:00:00"/>
    <x v="1"/>
    <x v="2"/>
    <x v="2"/>
    <x v="3"/>
    <x v="0"/>
    <x v="0"/>
    <x v="3"/>
  </r>
  <r>
    <x v="82"/>
    <x v="15"/>
    <x v="2"/>
    <n v="36.799999999999997"/>
    <n v="110.39999999999999"/>
    <x v="2"/>
    <x v="0"/>
    <d v="2025-01-03T00:00:00"/>
    <x v="7"/>
    <x v="1"/>
    <x v="1"/>
    <x v="2"/>
    <x v="1"/>
    <x v="0"/>
    <x v="3"/>
  </r>
  <r>
    <x v="83"/>
    <x v="8"/>
    <x v="11"/>
    <n v="41.8"/>
    <n v="376.2"/>
    <x v="3"/>
    <x v="0"/>
    <d v="2025-01-10T00:00:00"/>
    <x v="4"/>
    <x v="2"/>
    <x v="2"/>
    <x v="3"/>
    <x v="0"/>
    <x v="0"/>
    <x v="3"/>
  </r>
  <r>
    <x v="84"/>
    <x v="18"/>
    <x v="0"/>
    <n v="77.3"/>
    <n v="77.3"/>
    <x v="3"/>
    <x v="0"/>
    <d v="2025-01-05T00:00:00"/>
    <x v="3"/>
    <x v="1"/>
    <x v="1"/>
    <x v="4"/>
    <x v="4"/>
    <x v="0"/>
    <x v="3"/>
  </r>
  <r>
    <x v="85"/>
    <x v="8"/>
    <x v="12"/>
    <n v="19.8"/>
    <n v="79.2"/>
    <x v="3"/>
    <x v="0"/>
    <d v="2025-01-10T00:00:00"/>
    <x v="4"/>
    <x v="1"/>
    <x v="1"/>
    <x v="1"/>
    <x v="2"/>
    <x v="0"/>
    <x v="3"/>
  </r>
  <r>
    <x v="86"/>
    <x v="13"/>
    <x v="12"/>
    <n v="15.5"/>
    <n v="62"/>
    <x v="3"/>
    <x v="0"/>
    <d v="2025-01-05T00:00:00"/>
    <x v="3"/>
    <x v="2"/>
    <x v="2"/>
    <x v="1"/>
    <x v="2"/>
    <x v="0"/>
    <x v="3"/>
  </r>
  <r>
    <x v="87"/>
    <x v="12"/>
    <x v="0"/>
    <n v="46.8"/>
    <n v="46.8"/>
    <x v="3"/>
    <x v="0"/>
    <d v="2025-01-08T00:00:00"/>
    <x v="5"/>
    <x v="1"/>
    <x v="1"/>
    <x v="0"/>
    <x v="2"/>
    <x v="0"/>
    <x v="3"/>
  </r>
  <r>
    <x v="88"/>
    <x v="9"/>
    <x v="11"/>
    <n v="28.6"/>
    <n v="257.40000000000003"/>
    <x v="3"/>
    <x v="0"/>
    <d v="2025-01-08T00:00:00"/>
    <x v="5"/>
    <x v="1"/>
    <x v="1"/>
    <x v="0"/>
    <x v="2"/>
    <x v="0"/>
    <x v="3"/>
  </r>
  <r>
    <x v="89"/>
    <x v="2"/>
    <x v="0"/>
    <n v="97.7"/>
    <n v="97.7"/>
    <x v="3"/>
    <x v="0"/>
    <d v="2025-01-07T00:00:00"/>
    <x v="2"/>
    <x v="2"/>
    <x v="2"/>
    <x v="1"/>
    <x v="0"/>
    <x v="0"/>
    <x v="3"/>
  </r>
  <r>
    <x v="90"/>
    <x v="9"/>
    <x v="9"/>
    <n v="54.7"/>
    <n v="273.5"/>
    <x v="3"/>
    <x v="0"/>
    <d v="2025-01-07T00:00:00"/>
    <x v="2"/>
    <x v="0"/>
    <x v="0"/>
    <x v="0"/>
    <x v="2"/>
    <x v="0"/>
    <x v="23"/>
  </r>
  <r>
    <x v="91"/>
    <x v="2"/>
    <x v="13"/>
    <n v="130.5"/>
    <n v="783"/>
    <x v="3"/>
    <x v="0"/>
    <d v="2025-01-06T00:00:00"/>
    <x v="1"/>
    <x v="2"/>
    <x v="2"/>
    <x v="0"/>
    <x v="1"/>
    <x v="0"/>
    <x v="23"/>
  </r>
  <r>
    <x v="92"/>
    <x v="11"/>
    <x v="1"/>
    <n v="50.4"/>
    <n v="100.8"/>
    <x v="3"/>
    <x v="0"/>
    <d v="2025-01-06T00:00:00"/>
    <x v="1"/>
    <x v="1"/>
    <x v="1"/>
    <x v="2"/>
    <x v="2"/>
    <x v="0"/>
    <x v="6"/>
  </r>
  <r>
    <x v="93"/>
    <x v="6"/>
    <x v="15"/>
    <n v="61.5"/>
    <n v="799.5"/>
    <x v="3"/>
    <x v="0"/>
    <d v="2025-01-05T00:00:00"/>
    <x v="3"/>
    <x v="0"/>
    <x v="0"/>
    <x v="3"/>
    <x v="1"/>
    <x v="0"/>
    <x v="11"/>
  </r>
  <r>
    <x v="94"/>
    <x v="9"/>
    <x v="12"/>
    <n v="30.1"/>
    <n v="120.4"/>
    <x v="3"/>
    <x v="0"/>
    <d v="2025-01-05T00:00:00"/>
    <x v="3"/>
    <x v="2"/>
    <x v="2"/>
    <x v="0"/>
    <x v="2"/>
    <x v="0"/>
    <x v="21"/>
  </r>
  <r>
    <x v="95"/>
    <x v="2"/>
    <x v="9"/>
    <n v="74.8"/>
    <n v="374"/>
    <x v="3"/>
    <x v="0"/>
    <d v="2025-01-05T00:00:00"/>
    <x v="3"/>
    <x v="2"/>
    <x v="2"/>
    <x v="1"/>
    <x v="0"/>
    <x v="0"/>
    <x v="1"/>
  </r>
  <r>
    <x v="96"/>
    <x v="16"/>
    <x v="2"/>
    <n v="64.900000000000006"/>
    <n v="194.70000000000002"/>
    <x v="3"/>
    <x v="0"/>
    <d v="2025-01-11T00:00:00"/>
    <x v="6"/>
    <x v="1"/>
    <x v="1"/>
    <x v="0"/>
    <x v="0"/>
    <x v="0"/>
    <x v="2"/>
  </r>
  <r>
    <x v="97"/>
    <x v="9"/>
    <x v="1"/>
    <n v="50.5"/>
    <n v="101"/>
    <x v="3"/>
    <x v="0"/>
    <d v="2025-01-06T00:00:00"/>
    <x v="1"/>
    <x v="1"/>
    <x v="1"/>
    <x v="1"/>
    <x v="0"/>
    <x v="0"/>
    <x v="22"/>
  </r>
  <r>
    <x v="98"/>
    <x v="11"/>
    <x v="3"/>
    <n v="63"/>
    <n v="441"/>
    <x v="3"/>
    <x v="0"/>
    <d v="2025-01-07T00:00:00"/>
    <x v="2"/>
    <x v="1"/>
    <x v="1"/>
    <x v="3"/>
    <x v="2"/>
    <x v="0"/>
    <x v="3"/>
  </r>
  <r>
    <x v="99"/>
    <x v="2"/>
    <x v="2"/>
    <n v="93.6"/>
    <n v="280.79999999999995"/>
    <x v="3"/>
    <x v="0"/>
    <d v="2025-01-17T00:00:00"/>
    <x v="10"/>
    <x v="2"/>
    <x v="2"/>
    <x v="0"/>
    <x v="2"/>
    <x v="0"/>
    <x v="3"/>
  </r>
  <r>
    <x v="100"/>
    <x v="5"/>
    <x v="17"/>
    <n v="41.4"/>
    <n v="1242"/>
    <x v="3"/>
    <x v="0"/>
    <d v="2025-01-08T00:00:00"/>
    <x v="5"/>
    <x v="1"/>
    <x v="1"/>
    <x v="2"/>
    <x v="2"/>
    <x v="0"/>
    <x v="3"/>
  </r>
  <r>
    <x v="101"/>
    <x v="2"/>
    <x v="1"/>
    <n v="160"/>
    <n v="320"/>
    <x v="4"/>
    <x v="1"/>
    <d v="2025-01-06T00:00:00"/>
    <x v="3"/>
    <x v="1"/>
    <x v="1"/>
    <x v="2"/>
    <x v="2"/>
    <x v="0"/>
    <x v="5"/>
  </r>
  <r>
    <x v="102"/>
    <x v="19"/>
    <x v="5"/>
    <n v="10.5"/>
    <n v="115.5"/>
    <x v="4"/>
    <x v="1"/>
    <d v="2025-01-08T00:00:00"/>
    <x v="2"/>
    <x v="2"/>
    <x v="2"/>
    <x v="4"/>
    <x v="0"/>
    <x v="0"/>
    <x v="8"/>
  </r>
  <r>
    <x v="103"/>
    <x v="10"/>
    <x v="1"/>
    <n v="53"/>
    <n v="106"/>
    <x v="4"/>
    <x v="1"/>
    <d v="2025-01-05T00:00:00"/>
    <x v="7"/>
    <x v="1"/>
    <x v="1"/>
    <x v="2"/>
    <x v="4"/>
    <x v="0"/>
    <x v="17"/>
  </r>
  <r>
    <x v="104"/>
    <x v="8"/>
    <x v="2"/>
    <n v="18.5"/>
    <n v="55.5"/>
    <x v="4"/>
    <x v="1"/>
    <d v="2025-01-10T00:00:00"/>
    <x v="0"/>
    <x v="2"/>
    <x v="2"/>
    <x v="1"/>
    <x v="2"/>
    <x v="0"/>
    <x v="11"/>
  </r>
  <r>
    <x v="105"/>
    <x v="16"/>
    <x v="2"/>
    <n v="84.5"/>
    <n v="253.5"/>
    <x v="4"/>
    <x v="1"/>
    <d v="2025-01-07T00:00:00"/>
    <x v="1"/>
    <x v="2"/>
    <x v="2"/>
    <x v="4"/>
    <x v="1"/>
    <x v="0"/>
    <x v="13"/>
  </r>
  <r>
    <x v="106"/>
    <x v="15"/>
    <x v="3"/>
    <n v="31.2"/>
    <n v="218.4"/>
    <x v="4"/>
    <x v="1"/>
    <d v="2025-01-05T00:00:00"/>
    <x v="7"/>
    <x v="2"/>
    <x v="2"/>
    <x v="2"/>
    <x v="2"/>
    <x v="0"/>
    <x v="3"/>
  </r>
  <r>
    <x v="107"/>
    <x v="8"/>
    <x v="16"/>
    <n v="32.6"/>
    <n v="586.80000000000007"/>
    <x v="4"/>
    <x v="1"/>
    <d v="2025-01-06T00:00:00"/>
    <x v="3"/>
    <x v="1"/>
    <x v="1"/>
    <x v="1"/>
    <x v="1"/>
    <x v="0"/>
    <x v="3"/>
  </r>
  <r>
    <x v="108"/>
    <x v="10"/>
    <x v="12"/>
    <n v="45.4"/>
    <n v="181.6"/>
    <x v="4"/>
    <x v="1"/>
    <d v="2025-01-07T00:00:00"/>
    <x v="1"/>
    <x v="1"/>
    <x v="1"/>
    <x v="1"/>
    <x v="0"/>
    <x v="0"/>
    <x v="3"/>
  </r>
  <r>
    <x v="109"/>
    <x v="2"/>
    <x v="4"/>
    <n v="120"/>
    <n v="1440"/>
    <x v="4"/>
    <x v="1"/>
    <d v="2025-01-06T00:00:00"/>
    <x v="3"/>
    <x v="2"/>
    <x v="2"/>
    <x v="2"/>
    <x v="4"/>
    <x v="0"/>
    <x v="3"/>
  </r>
  <r>
    <x v="110"/>
    <x v="0"/>
    <x v="12"/>
    <n v="18.899999999999999"/>
    <n v="75.599999999999994"/>
    <x v="4"/>
    <x v="1"/>
    <d v="2025-01-07T00:00:00"/>
    <x v="1"/>
    <x v="1"/>
    <x v="1"/>
    <x v="0"/>
    <x v="2"/>
    <x v="0"/>
    <x v="3"/>
  </r>
  <r>
    <x v="111"/>
    <x v="4"/>
    <x v="0"/>
    <n v="32"/>
    <n v="32"/>
    <x v="4"/>
    <x v="1"/>
    <d v="2025-01-07T00:00:00"/>
    <x v="1"/>
    <x v="2"/>
    <x v="2"/>
    <x v="4"/>
    <x v="0"/>
    <x v="0"/>
    <x v="3"/>
  </r>
  <r>
    <x v="112"/>
    <x v="7"/>
    <x v="1"/>
    <n v="37.299999999999997"/>
    <n v="74.599999999999994"/>
    <x v="4"/>
    <x v="1"/>
    <d v="2025-01-06T00:00:00"/>
    <x v="3"/>
    <x v="1"/>
    <x v="1"/>
    <x v="2"/>
    <x v="0"/>
    <x v="0"/>
    <x v="3"/>
  </r>
  <r>
    <x v="113"/>
    <x v="18"/>
    <x v="0"/>
    <n v="119.8"/>
    <n v="119.8"/>
    <x v="4"/>
    <x v="1"/>
    <d v="2025-01-06T00:00:00"/>
    <x v="3"/>
    <x v="1"/>
    <x v="1"/>
    <x v="1"/>
    <x v="1"/>
    <x v="0"/>
    <x v="3"/>
  </r>
  <r>
    <x v="114"/>
    <x v="10"/>
    <x v="1"/>
    <n v="26.4"/>
    <n v="52.8"/>
    <x v="4"/>
    <x v="1"/>
    <d v="2025-01-08T00:00:00"/>
    <x v="2"/>
    <x v="1"/>
    <x v="1"/>
    <x v="2"/>
    <x v="0"/>
    <x v="0"/>
    <x v="3"/>
  </r>
  <r>
    <x v="115"/>
    <x v="6"/>
    <x v="13"/>
    <n v="76.5"/>
    <n v="459"/>
    <x v="4"/>
    <x v="1"/>
    <d v="2025-01-06T00:00:00"/>
    <x v="3"/>
    <x v="2"/>
    <x v="2"/>
    <x v="1"/>
    <x v="1"/>
    <x v="0"/>
    <x v="3"/>
  </r>
  <r>
    <x v="116"/>
    <x v="4"/>
    <x v="7"/>
    <n v="45.7"/>
    <n v="457"/>
    <x v="4"/>
    <x v="1"/>
    <d v="2025-01-06T00:00:00"/>
    <x v="3"/>
    <x v="2"/>
    <x v="2"/>
    <x v="2"/>
    <x v="0"/>
    <x v="0"/>
    <x v="24"/>
  </r>
  <r>
    <x v="117"/>
    <x v="1"/>
    <x v="4"/>
    <n v="92.6"/>
    <n v="1111.1999999999998"/>
    <x v="4"/>
    <x v="1"/>
    <d v="2025-01-07T00:00:00"/>
    <x v="1"/>
    <x v="2"/>
    <x v="2"/>
    <x v="2"/>
    <x v="0"/>
    <x v="0"/>
    <x v="25"/>
  </r>
  <r>
    <x v="118"/>
    <x v="6"/>
    <x v="13"/>
    <n v="60.1"/>
    <n v="360.6"/>
    <x v="4"/>
    <x v="1"/>
    <d v="2025-01-06T00:00:00"/>
    <x v="3"/>
    <x v="1"/>
    <x v="1"/>
    <x v="1"/>
    <x v="0"/>
    <x v="0"/>
    <x v="23"/>
  </r>
  <r>
    <x v="119"/>
    <x v="1"/>
    <x v="2"/>
    <n v="73"/>
    <n v="219"/>
    <x v="4"/>
    <x v="1"/>
    <d v="2025-01-06T00:00:00"/>
    <x v="3"/>
    <x v="2"/>
    <x v="2"/>
    <x v="3"/>
    <x v="1"/>
    <x v="0"/>
    <x v="6"/>
  </r>
  <r>
    <x v="120"/>
    <x v="6"/>
    <x v="2"/>
    <n v="44.3"/>
    <n v="132.89999999999998"/>
    <x v="4"/>
    <x v="1"/>
    <d v="2025-01-09T00:00:00"/>
    <x v="5"/>
    <x v="0"/>
    <x v="0"/>
    <x v="2"/>
    <x v="2"/>
    <x v="0"/>
    <x v="6"/>
  </r>
  <r>
    <x v="121"/>
    <x v="6"/>
    <x v="2"/>
    <n v="63.3"/>
    <n v="189.89999999999998"/>
    <x v="4"/>
    <x v="1"/>
    <d v="2025-01-06T00:00:00"/>
    <x v="3"/>
    <x v="1"/>
    <x v="1"/>
    <x v="2"/>
    <x v="0"/>
    <x v="0"/>
    <x v="6"/>
  </r>
  <r>
    <x v="122"/>
    <x v="12"/>
    <x v="0"/>
    <n v="66.8"/>
    <n v="66.8"/>
    <x v="4"/>
    <x v="1"/>
    <d v="2025-01-06T00:00:00"/>
    <x v="3"/>
    <x v="2"/>
    <x v="2"/>
    <x v="1"/>
    <x v="0"/>
    <x v="0"/>
    <x v="6"/>
  </r>
  <r>
    <x v="123"/>
    <x v="2"/>
    <x v="1"/>
    <n v="59.7"/>
    <n v="119.4"/>
    <x v="4"/>
    <x v="1"/>
    <d v="2025-01-06T00:00:00"/>
    <x v="3"/>
    <x v="2"/>
    <x v="2"/>
    <x v="0"/>
    <x v="0"/>
    <x v="0"/>
    <x v="7"/>
  </r>
  <r>
    <x v="124"/>
    <x v="1"/>
    <x v="13"/>
    <n v="92"/>
    <n v="552"/>
    <x v="4"/>
    <x v="1"/>
    <d v="2025-01-07T00:00:00"/>
    <x v="1"/>
    <x v="1"/>
    <x v="1"/>
    <x v="0"/>
    <x v="4"/>
    <x v="0"/>
    <x v="7"/>
  </r>
  <r>
    <x v="125"/>
    <x v="7"/>
    <x v="1"/>
    <n v="87.6"/>
    <n v="175.2"/>
    <x v="4"/>
    <x v="1"/>
    <d v="2025-01-07T00:00:00"/>
    <x v="1"/>
    <x v="1"/>
    <x v="1"/>
    <x v="1"/>
    <x v="1"/>
    <x v="0"/>
    <x v="8"/>
  </r>
  <r>
    <x v="126"/>
    <x v="6"/>
    <x v="2"/>
    <n v="84.5"/>
    <n v="253.5"/>
    <x v="4"/>
    <x v="1"/>
    <d v="2025-01-06T00:00:00"/>
    <x v="3"/>
    <x v="2"/>
    <x v="2"/>
    <x v="1"/>
    <x v="1"/>
    <x v="0"/>
    <x v="8"/>
  </r>
  <r>
    <x v="127"/>
    <x v="1"/>
    <x v="1"/>
    <n v="116.3"/>
    <n v="232.6"/>
    <x v="5"/>
    <x v="1"/>
    <d v="2025-01-08T00:00:00"/>
    <x v="1"/>
    <x v="1"/>
    <x v="1"/>
    <x v="2"/>
    <x v="2"/>
    <x v="0"/>
    <x v="8"/>
  </r>
  <r>
    <x v="128"/>
    <x v="6"/>
    <x v="9"/>
    <n v="52.7"/>
    <n v="263.5"/>
    <x v="5"/>
    <x v="1"/>
    <d v="2025-01-10T00:00:00"/>
    <x v="5"/>
    <x v="1"/>
    <x v="1"/>
    <x v="0"/>
    <x v="0"/>
    <x v="0"/>
    <x v="8"/>
  </r>
  <r>
    <x v="129"/>
    <x v="16"/>
    <x v="2"/>
    <n v="34.200000000000003"/>
    <n v="102.60000000000001"/>
    <x v="5"/>
    <x v="1"/>
    <d v="2025-01-07T00:00:00"/>
    <x v="3"/>
    <x v="1"/>
    <x v="1"/>
    <x v="0"/>
    <x v="2"/>
    <x v="0"/>
    <x v="26"/>
  </r>
  <r>
    <x v="130"/>
    <x v="9"/>
    <x v="0"/>
    <n v="23.3"/>
    <n v="23.3"/>
    <x v="5"/>
    <x v="1"/>
    <d v="2025-01-15T00:00:00"/>
    <x v="8"/>
    <x v="3"/>
    <x v="3"/>
    <x v="2"/>
    <x v="2"/>
    <x v="0"/>
    <x v="9"/>
  </r>
  <r>
    <x v="131"/>
    <x v="0"/>
    <x v="18"/>
    <n v="25.9"/>
    <n v="673.4"/>
    <x v="5"/>
    <x v="1"/>
    <d v="2025-01-09T00:00:00"/>
    <x v="2"/>
    <x v="2"/>
    <x v="2"/>
    <x v="4"/>
    <x v="1"/>
    <x v="0"/>
    <x v="9"/>
  </r>
  <r>
    <x v="132"/>
    <x v="6"/>
    <x v="19"/>
    <n v="54.9"/>
    <n v="1592.1"/>
    <x v="5"/>
    <x v="1"/>
    <d v="2025-01-07T00:00:00"/>
    <x v="3"/>
    <x v="1"/>
    <x v="1"/>
    <x v="1"/>
    <x v="2"/>
    <x v="0"/>
    <x v="9"/>
  </r>
  <r>
    <x v="133"/>
    <x v="5"/>
    <x v="2"/>
    <n v="75.8"/>
    <n v="227.39999999999998"/>
    <x v="5"/>
    <x v="1"/>
    <d v="2025-01-11T00:00:00"/>
    <x v="0"/>
    <x v="3"/>
    <x v="3"/>
    <x v="1"/>
    <x v="0"/>
    <x v="0"/>
    <x v="18"/>
  </r>
  <r>
    <x v="134"/>
    <x v="1"/>
    <x v="11"/>
    <n v="44.9"/>
    <n v="404.09999999999997"/>
    <x v="5"/>
    <x v="1"/>
    <d v="2025-01-09T00:00:00"/>
    <x v="2"/>
    <x v="2"/>
    <x v="2"/>
    <x v="2"/>
    <x v="2"/>
    <x v="0"/>
    <x v="2"/>
  </r>
  <r>
    <x v="135"/>
    <x v="11"/>
    <x v="1"/>
    <n v="48.8"/>
    <n v="97.6"/>
    <x v="5"/>
    <x v="1"/>
    <d v="2025-01-08T00:00:00"/>
    <x v="1"/>
    <x v="2"/>
    <x v="2"/>
    <x v="3"/>
    <x v="0"/>
    <x v="0"/>
    <x v="27"/>
  </r>
  <r>
    <x v="136"/>
    <x v="15"/>
    <x v="0"/>
    <n v="20.3"/>
    <n v="20.3"/>
    <x v="5"/>
    <x v="1"/>
    <d v="2025-01-07T00:00:00"/>
    <x v="3"/>
    <x v="2"/>
    <x v="2"/>
    <x v="0"/>
    <x v="2"/>
    <x v="0"/>
    <x v="22"/>
  </r>
  <r>
    <x v="137"/>
    <x v="5"/>
    <x v="3"/>
    <n v="36.4"/>
    <n v="254.79999999999998"/>
    <x v="5"/>
    <x v="1"/>
    <d v="2025-01-09T00:00:00"/>
    <x v="2"/>
    <x v="2"/>
    <x v="2"/>
    <x v="0"/>
    <x v="1"/>
    <x v="0"/>
    <x v="3"/>
  </r>
  <r>
    <x v="138"/>
    <x v="0"/>
    <x v="0"/>
    <n v="19"/>
    <n v="19"/>
    <x v="5"/>
    <x v="1"/>
    <d v="2025-01-11T00:00:00"/>
    <x v="0"/>
    <x v="2"/>
    <x v="2"/>
    <x v="1"/>
    <x v="2"/>
    <x v="0"/>
    <x v="3"/>
  </r>
  <r>
    <x v="139"/>
    <x v="8"/>
    <x v="0"/>
    <n v="17.8"/>
    <n v="17.8"/>
    <x v="5"/>
    <x v="1"/>
    <d v="2025-01-06T00:00:00"/>
    <x v="7"/>
    <x v="1"/>
    <x v="1"/>
    <x v="0"/>
    <x v="0"/>
    <x v="0"/>
    <x v="3"/>
  </r>
  <r>
    <x v="140"/>
    <x v="2"/>
    <x v="13"/>
    <n v="139.6"/>
    <n v="837.59999999999991"/>
    <x v="5"/>
    <x v="1"/>
    <d v="2025-01-09T00:00:00"/>
    <x v="2"/>
    <x v="1"/>
    <x v="1"/>
    <x v="0"/>
    <x v="0"/>
    <x v="0"/>
    <x v="3"/>
  </r>
  <r>
    <x v="141"/>
    <x v="9"/>
    <x v="0"/>
    <n v="31.7"/>
    <n v="31.7"/>
    <x v="5"/>
    <x v="1"/>
    <d v="2025-01-06T00:00:00"/>
    <x v="7"/>
    <x v="0"/>
    <x v="0"/>
    <x v="0"/>
    <x v="0"/>
    <x v="0"/>
    <x v="3"/>
  </r>
  <r>
    <x v="142"/>
    <x v="8"/>
    <x v="8"/>
    <n v="26.3"/>
    <n v="210.4"/>
    <x v="5"/>
    <x v="1"/>
    <d v="2025-01-09T00:00:00"/>
    <x v="2"/>
    <x v="2"/>
    <x v="2"/>
    <x v="4"/>
    <x v="4"/>
    <x v="0"/>
    <x v="3"/>
  </r>
  <r>
    <x v="143"/>
    <x v="4"/>
    <x v="1"/>
    <n v="47.8"/>
    <n v="95.6"/>
    <x v="5"/>
    <x v="1"/>
    <d v="2025-01-07T00:00:00"/>
    <x v="3"/>
    <x v="0"/>
    <x v="0"/>
    <x v="0"/>
    <x v="0"/>
    <x v="0"/>
    <x v="3"/>
  </r>
  <r>
    <x v="144"/>
    <x v="9"/>
    <x v="2"/>
    <n v="69.400000000000006"/>
    <n v="208.20000000000002"/>
    <x v="5"/>
    <x v="1"/>
    <d v="2025-01-10T00:00:00"/>
    <x v="5"/>
    <x v="2"/>
    <x v="2"/>
    <x v="0"/>
    <x v="0"/>
    <x v="0"/>
    <x v="3"/>
  </r>
  <r>
    <x v="145"/>
    <x v="18"/>
    <x v="4"/>
    <n v="25.8"/>
    <n v="309.60000000000002"/>
    <x v="5"/>
    <x v="1"/>
    <d v="2025-01-07T00:00:00"/>
    <x v="3"/>
    <x v="1"/>
    <x v="1"/>
    <x v="4"/>
    <x v="4"/>
    <x v="0"/>
    <x v="3"/>
  </r>
  <r>
    <x v="146"/>
    <x v="0"/>
    <x v="12"/>
    <n v="26.4"/>
    <n v="105.6"/>
    <x v="5"/>
    <x v="1"/>
    <d v="2025-01-07T00:00:00"/>
    <x v="3"/>
    <x v="1"/>
    <x v="1"/>
    <x v="1"/>
    <x v="2"/>
    <x v="0"/>
    <x v="3"/>
  </r>
  <r>
    <x v="147"/>
    <x v="8"/>
    <x v="12"/>
    <n v="15.7"/>
    <n v="62.8"/>
    <x v="5"/>
    <x v="1"/>
    <d v="2025-01-07T00:00:00"/>
    <x v="3"/>
    <x v="1"/>
    <x v="1"/>
    <x v="2"/>
    <x v="0"/>
    <x v="0"/>
    <x v="3"/>
  </r>
  <r>
    <x v="148"/>
    <x v="8"/>
    <x v="0"/>
    <n v="39.700000000000003"/>
    <n v="39.700000000000003"/>
    <x v="5"/>
    <x v="1"/>
    <d v="2025-01-10T00:00:00"/>
    <x v="5"/>
    <x v="1"/>
    <x v="1"/>
    <x v="0"/>
    <x v="0"/>
    <x v="0"/>
    <x v="3"/>
  </r>
  <r>
    <x v="149"/>
    <x v="10"/>
    <x v="12"/>
    <n v="31.1"/>
    <n v="124.4"/>
    <x v="5"/>
    <x v="1"/>
    <d v="2025-01-08T00:00:00"/>
    <x v="1"/>
    <x v="2"/>
    <x v="2"/>
    <x v="2"/>
    <x v="1"/>
    <x v="0"/>
    <x v="3"/>
  </r>
  <r>
    <x v="150"/>
    <x v="13"/>
    <x v="20"/>
    <n v="23.4"/>
    <n v="351"/>
    <x v="5"/>
    <x v="1"/>
    <d v="2025-01-15T00:00:00"/>
    <x v="8"/>
    <x v="1"/>
    <x v="1"/>
    <x v="0"/>
    <x v="0"/>
    <x v="0"/>
    <x v="3"/>
  </r>
  <r>
    <x v="151"/>
    <x v="1"/>
    <x v="12"/>
    <n v="57.1"/>
    <n v="228.4"/>
    <x v="6"/>
    <x v="1"/>
    <d v="2025-01-08T00:00:00"/>
    <x v="3"/>
    <x v="1"/>
    <x v="1"/>
    <x v="2"/>
    <x v="0"/>
    <x v="0"/>
    <x v="25"/>
  </r>
  <r>
    <x v="152"/>
    <x v="2"/>
    <x v="9"/>
    <n v="89.9"/>
    <n v="449.5"/>
    <x v="6"/>
    <x v="1"/>
    <d v="2025-01-07T00:00:00"/>
    <x v="7"/>
    <x v="2"/>
    <x v="2"/>
    <x v="0"/>
    <x v="3"/>
    <x v="0"/>
    <x v="23"/>
  </r>
  <r>
    <x v="153"/>
    <x v="10"/>
    <x v="3"/>
    <n v="48.1"/>
    <n v="336.7"/>
    <x v="6"/>
    <x v="1"/>
    <d v="2025-01-09T00:00:00"/>
    <x v="1"/>
    <x v="2"/>
    <x v="2"/>
    <x v="1"/>
    <x v="2"/>
    <x v="0"/>
    <x v="6"/>
  </r>
  <r>
    <x v="154"/>
    <x v="8"/>
    <x v="1"/>
    <n v="29.3"/>
    <n v="58.6"/>
    <x v="6"/>
    <x v="1"/>
    <d v="2025-01-07T00:00:00"/>
    <x v="7"/>
    <x v="2"/>
    <x v="2"/>
    <x v="1"/>
    <x v="1"/>
    <x v="0"/>
    <x v="6"/>
  </r>
  <r>
    <x v="155"/>
    <x v="8"/>
    <x v="12"/>
    <n v="28.8"/>
    <n v="115.2"/>
    <x v="6"/>
    <x v="1"/>
    <d v="2025-01-08T00:00:00"/>
    <x v="3"/>
    <x v="2"/>
    <x v="2"/>
    <x v="0"/>
    <x v="4"/>
    <x v="0"/>
    <x v="6"/>
  </r>
  <r>
    <x v="156"/>
    <x v="10"/>
    <x v="9"/>
    <n v="40.5"/>
    <n v="202.5"/>
    <x v="6"/>
    <x v="1"/>
    <d v="2025-01-11T00:00:00"/>
    <x v="5"/>
    <x v="2"/>
    <x v="2"/>
    <x v="3"/>
    <x v="0"/>
    <x v="0"/>
    <x v="6"/>
  </r>
  <r>
    <x v="157"/>
    <x v="18"/>
    <x v="21"/>
    <n v="65.099999999999994"/>
    <n v="911.39999999999986"/>
    <x v="6"/>
    <x v="1"/>
    <d v="2025-01-08T00:00:00"/>
    <x v="3"/>
    <x v="2"/>
    <x v="2"/>
    <x v="4"/>
    <x v="0"/>
    <x v="0"/>
    <x v="7"/>
  </r>
  <r>
    <x v="158"/>
    <x v="8"/>
    <x v="12"/>
    <n v="40.299999999999997"/>
    <n v="161.19999999999999"/>
    <x v="6"/>
    <x v="1"/>
    <d v="2025-01-12T00:00:00"/>
    <x v="0"/>
    <x v="2"/>
    <x v="2"/>
    <x v="2"/>
    <x v="0"/>
    <x v="0"/>
    <x v="7"/>
  </r>
  <r>
    <x v="159"/>
    <x v="6"/>
    <x v="9"/>
    <n v="51.8"/>
    <n v="259"/>
    <x v="6"/>
    <x v="1"/>
    <d v="2025-01-08T00:00:00"/>
    <x v="3"/>
    <x v="1"/>
    <x v="1"/>
    <x v="2"/>
    <x v="2"/>
    <x v="0"/>
    <x v="8"/>
  </r>
  <r>
    <x v="160"/>
    <x v="6"/>
    <x v="2"/>
    <n v="61.3"/>
    <n v="183.89999999999998"/>
    <x v="6"/>
    <x v="1"/>
    <d v="2025-01-08T00:00:00"/>
    <x v="3"/>
    <x v="2"/>
    <x v="2"/>
    <x v="3"/>
    <x v="0"/>
    <x v="0"/>
    <x v="8"/>
  </r>
  <r>
    <x v="161"/>
    <x v="2"/>
    <x v="12"/>
    <n v="122.5"/>
    <n v="490"/>
    <x v="6"/>
    <x v="1"/>
    <d v="2025-01-08T00:00:00"/>
    <x v="3"/>
    <x v="1"/>
    <x v="1"/>
    <x v="0"/>
    <x v="0"/>
    <x v="0"/>
    <x v="8"/>
  </r>
  <r>
    <x v="162"/>
    <x v="0"/>
    <x v="11"/>
    <n v="12.5"/>
    <n v="112.5"/>
    <x v="6"/>
    <x v="1"/>
    <d v="2025-01-08T00:00:00"/>
    <x v="3"/>
    <x v="0"/>
    <x v="0"/>
    <x v="1"/>
    <x v="2"/>
    <x v="0"/>
    <x v="8"/>
  </r>
  <r>
    <x v="163"/>
    <x v="15"/>
    <x v="8"/>
    <n v="37.5"/>
    <n v="300"/>
    <x v="6"/>
    <x v="1"/>
    <d v="2025-01-08T00:00:00"/>
    <x v="3"/>
    <x v="2"/>
    <x v="2"/>
    <x v="0"/>
    <x v="0"/>
    <x v="0"/>
    <x v="9"/>
  </r>
  <r>
    <x v="164"/>
    <x v="6"/>
    <x v="2"/>
    <n v="40"/>
    <n v="120"/>
    <x v="6"/>
    <x v="1"/>
    <d v="2025-01-10T00:00:00"/>
    <x v="2"/>
    <x v="1"/>
    <x v="1"/>
    <x v="0"/>
    <x v="4"/>
    <x v="0"/>
    <x v="11"/>
  </r>
  <r>
    <x v="165"/>
    <x v="17"/>
    <x v="8"/>
    <n v="38.5"/>
    <n v="308"/>
    <x v="6"/>
    <x v="1"/>
    <d v="2025-01-12T00:00:00"/>
    <x v="0"/>
    <x v="2"/>
    <x v="2"/>
    <x v="2"/>
    <x v="1"/>
    <x v="0"/>
    <x v="11"/>
  </r>
  <r>
    <x v="166"/>
    <x v="2"/>
    <x v="1"/>
    <n v="86.4"/>
    <n v="172.8"/>
    <x v="6"/>
    <x v="1"/>
    <d v="2025-01-09T00:00:00"/>
    <x v="1"/>
    <x v="2"/>
    <x v="2"/>
    <x v="0"/>
    <x v="0"/>
    <x v="0"/>
    <x v="18"/>
  </r>
  <r>
    <x v="167"/>
    <x v="10"/>
    <x v="0"/>
    <n v="50.7"/>
    <n v="50.7"/>
    <x v="6"/>
    <x v="1"/>
    <d v="2025-01-11T00:00:00"/>
    <x v="5"/>
    <x v="2"/>
    <x v="2"/>
    <x v="1"/>
    <x v="0"/>
    <x v="0"/>
    <x v="18"/>
  </r>
  <r>
    <x v="168"/>
    <x v="10"/>
    <x v="1"/>
    <n v="61"/>
    <n v="122"/>
    <x v="6"/>
    <x v="1"/>
    <d v="2025-01-18T00:00:00"/>
    <x v="11"/>
    <x v="2"/>
    <x v="2"/>
    <x v="4"/>
    <x v="1"/>
    <x v="0"/>
    <x v="18"/>
  </r>
  <r>
    <x v="169"/>
    <x v="4"/>
    <x v="1"/>
    <n v="19.899999999999999"/>
    <n v="39.799999999999997"/>
    <x v="6"/>
    <x v="1"/>
    <d v="2025-01-10T00:00:00"/>
    <x v="2"/>
    <x v="2"/>
    <x v="2"/>
    <x v="1"/>
    <x v="0"/>
    <x v="0"/>
    <x v="28"/>
  </r>
  <r>
    <x v="170"/>
    <x v="5"/>
    <x v="0"/>
    <n v="78.3"/>
    <n v="78.3"/>
    <x v="6"/>
    <x v="1"/>
    <d v="2025-01-07T00:00:00"/>
    <x v="7"/>
    <x v="2"/>
    <x v="2"/>
    <x v="0"/>
    <x v="2"/>
    <x v="0"/>
    <x v="1"/>
  </r>
  <r>
    <x v="171"/>
    <x v="0"/>
    <x v="10"/>
    <n v="10.4"/>
    <n v="197.6"/>
    <x v="6"/>
    <x v="1"/>
    <d v="2025-01-09T00:00:00"/>
    <x v="1"/>
    <x v="1"/>
    <x v="1"/>
    <x v="0"/>
    <x v="2"/>
    <x v="0"/>
    <x v="2"/>
  </r>
  <r>
    <x v="172"/>
    <x v="10"/>
    <x v="0"/>
    <n v="36.1"/>
    <n v="36.1"/>
    <x v="6"/>
    <x v="1"/>
    <d v="2025-01-10T00:00:00"/>
    <x v="2"/>
    <x v="1"/>
    <x v="1"/>
    <x v="3"/>
    <x v="2"/>
    <x v="0"/>
    <x v="3"/>
  </r>
  <r>
    <x v="173"/>
    <x v="14"/>
    <x v="1"/>
    <n v="17.3"/>
    <n v="34.6"/>
    <x v="6"/>
    <x v="1"/>
    <d v="2025-01-09T00:00:00"/>
    <x v="1"/>
    <x v="2"/>
    <x v="2"/>
    <x v="1"/>
    <x v="2"/>
    <x v="0"/>
    <x v="3"/>
  </r>
  <r>
    <x v="174"/>
    <x v="10"/>
    <x v="1"/>
    <n v="30.5"/>
    <n v="61"/>
    <x v="6"/>
    <x v="1"/>
    <d v="2025-01-08T00:00:00"/>
    <x v="3"/>
    <x v="2"/>
    <x v="2"/>
    <x v="1"/>
    <x v="2"/>
    <x v="0"/>
    <x v="3"/>
  </r>
  <r>
    <x v="175"/>
    <x v="18"/>
    <x v="22"/>
    <n v="70.099999999999994"/>
    <n v="4346.2"/>
    <x v="6"/>
    <x v="1"/>
    <d v="2025-01-07T00:00:00"/>
    <x v="7"/>
    <x v="2"/>
    <x v="2"/>
    <x v="2"/>
    <x v="0"/>
    <x v="0"/>
    <x v="3"/>
  </r>
  <r>
    <x v="176"/>
    <x v="3"/>
    <x v="0"/>
    <n v="76.099999999999994"/>
    <n v="76.099999999999994"/>
    <x v="6"/>
    <x v="1"/>
    <d v="2025-01-07T00:00:00"/>
    <x v="7"/>
    <x v="2"/>
    <x v="2"/>
    <x v="2"/>
    <x v="1"/>
    <x v="0"/>
    <x v="3"/>
  </r>
  <r>
    <x v="177"/>
    <x v="15"/>
    <x v="15"/>
    <n v="34.200000000000003"/>
    <n v="444.6"/>
    <x v="6"/>
    <x v="1"/>
    <d v="2025-01-08T00:00:00"/>
    <x v="3"/>
    <x v="1"/>
    <x v="1"/>
    <x v="0"/>
    <x v="0"/>
    <x v="0"/>
    <x v="3"/>
  </r>
  <r>
    <x v="178"/>
    <x v="8"/>
    <x v="9"/>
    <n v="30.3"/>
    <n v="151.5"/>
    <x v="6"/>
    <x v="1"/>
    <d v="2025-01-12T00:00:00"/>
    <x v="0"/>
    <x v="2"/>
    <x v="2"/>
    <x v="4"/>
    <x v="0"/>
    <x v="0"/>
    <x v="3"/>
  </r>
  <r>
    <x v="179"/>
    <x v="6"/>
    <x v="9"/>
    <n v="52.5"/>
    <n v="262.5"/>
    <x v="6"/>
    <x v="1"/>
    <d v="2025-01-11T00:00:00"/>
    <x v="5"/>
    <x v="0"/>
    <x v="0"/>
    <x v="3"/>
    <x v="0"/>
    <x v="0"/>
    <x v="3"/>
  </r>
  <r>
    <x v="180"/>
    <x v="9"/>
    <x v="5"/>
    <n v="28.7"/>
    <n v="315.7"/>
    <x v="6"/>
    <x v="1"/>
    <d v="2025-01-08T00:00:00"/>
    <x v="3"/>
    <x v="2"/>
    <x v="2"/>
    <x v="2"/>
    <x v="0"/>
    <x v="0"/>
    <x v="3"/>
  </r>
  <r>
    <x v="181"/>
    <x v="7"/>
    <x v="3"/>
    <n v="52"/>
    <n v="364"/>
    <x v="6"/>
    <x v="1"/>
    <d v="2025-01-08T00:00:00"/>
    <x v="3"/>
    <x v="1"/>
    <x v="1"/>
    <x v="1"/>
    <x v="4"/>
    <x v="0"/>
    <x v="3"/>
  </r>
  <r>
    <x v="182"/>
    <x v="0"/>
    <x v="0"/>
    <n v="13.3"/>
    <n v="13.3"/>
    <x v="7"/>
    <x v="1"/>
    <d v="2025-01-12T00:00:00"/>
    <x v="5"/>
    <x v="2"/>
    <x v="2"/>
    <x v="2"/>
    <x v="1"/>
    <x v="0"/>
    <x v="3"/>
  </r>
  <r>
    <x v="183"/>
    <x v="0"/>
    <x v="2"/>
    <n v="15.7"/>
    <n v="47.099999999999994"/>
    <x v="7"/>
    <x v="1"/>
    <d v="2025-01-09T00:00:00"/>
    <x v="3"/>
    <x v="2"/>
    <x v="2"/>
    <x v="1"/>
    <x v="0"/>
    <x v="0"/>
    <x v="29"/>
  </r>
  <r>
    <x v="184"/>
    <x v="8"/>
    <x v="1"/>
    <n v="25.6"/>
    <n v="51.2"/>
    <x v="7"/>
    <x v="1"/>
    <d v="2025-01-09T00:00:00"/>
    <x v="3"/>
    <x v="1"/>
    <x v="1"/>
    <x v="0"/>
    <x v="2"/>
    <x v="0"/>
    <x v="23"/>
  </r>
  <r>
    <x v="185"/>
    <x v="8"/>
    <x v="0"/>
    <n v="43.4"/>
    <n v="43.4"/>
    <x v="7"/>
    <x v="1"/>
    <d v="2025-01-13T00:00:00"/>
    <x v="0"/>
    <x v="1"/>
    <x v="1"/>
    <x v="0"/>
    <x v="0"/>
    <x v="0"/>
    <x v="6"/>
  </r>
  <r>
    <x v="186"/>
    <x v="11"/>
    <x v="11"/>
    <n v="33.4"/>
    <n v="300.59999999999997"/>
    <x v="7"/>
    <x v="1"/>
    <d v="2025-01-08T00:00:00"/>
    <x v="7"/>
    <x v="2"/>
    <x v="2"/>
    <x v="0"/>
    <x v="0"/>
    <x v="0"/>
    <x v="8"/>
  </r>
  <r>
    <x v="187"/>
    <x v="8"/>
    <x v="10"/>
    <n v="55"/>
    <n v="1045"/>
    <x v="7"/>
    <x v="1"/>
    <d v="2025-01-09T00:00:00"/>
    <x v="3"/>
    <x v="2"/>
    <x v="2"/>
    <x v="1"/>
    <x v="2"/>
    <x v="0"/>
    <x v="8"/>
  </r>
  <r>
    <x v="188"/>
    <x v="8"/>
    <x v="2"/>
    <n v="23.6"/>
    <n v="70.800000000000011"/>
    <x v="7"/>
    <x v="1"/>
    <d v="2025-01-09T00:00:00"/>
    <x v="3"/>
    <x v="1"/>
    <x v="1"/>
    <x v="0"/>
    <x v="2"/>
    <x v="0"/>
    <x v="8"/>
  </r>
  <r>
    <x v="189"/>
    <x v="12"/>
    <x v="11"/>
    <n v="104"/>
    <n v="936"/>
    <x v="7"/>
    <x v="1"/>
    <d v="2025-01-10T00:00:00"/>
    <x v="1"/>
    <x v="2"/>
    <x v="2"/>
    <x v="2"/>
    <x v="2"/>
    <x v="0"/>
    <x v="17"/>
  </r>
  <r>
    <x v="190"/>
    <x v="6"/>
    <x v="1"/>
    <n v="51.8"/>
    <n v="103.6"/>
    <x v="7"/>
    <x v="1"/>
    <d v="2025-01-12T00:00:00"/>
    <x v="5"/>
    <x v="0"/>
    <x v="0"/>
    <x v="0"/>
    <x v="2"/>
    <x v="0"/>
    <x v="10"/>
  </r>
  <r>
    <x v="191"/>
    <x v="10"/>
    <x v="9"/>
    <n v="34.5"/>
    <n v="172.5"/>
    <x v="7"/>
    <x v="1"/>
    <d v="2025-01-10T00:00:00"/>
    <x v="1"/>
    <x v="0"/>
    <x v="0"/>
    <x v="2"/>
    <x v="2"/>
    <x v="0"/>
    <x v="11"/>
  </r>
  <r>
    <x v="192"/>
    <x v="6"/>
    <x v="1"/>
    <n v="51.8"/>
    <n v="103.6"/>
    <x v="7"/>
    <x v="1"/>
    <d v="2025-01-10T00:00:00"/>
    <x v="1"/>
    <x v="1"/>
    <x v="1"/>
    <x v="1"/>
    <x v="2"/>
    <x v="0"/>
    <x v="30"/>
  </r>
  <r>
    <x v="193"/>
    <x v="18"/>
    <x v="23"/>
    <n v="131.5"/>
    <n v="5654.5"/>
    <x v="7"/>
    <x v="1"/>
    <d v="2025-01-09T00:00:00"/>
    <x v="3"/>
    <x v="2"/>
    <x v="2"/>
    <x v="0"/>
    <x v="2"/>
    <x v="0"/>
    <x v="18"/>
  </r>
  <r>
    <x v="194"/>
    <x v="8"/>
    <x v="3"/>
    <n v="47.8"/>
    <n v="334.59999999999997"/>
    <x v="7"/>
    <x v="1"/>
    <d v="2025-01-08T00:00:00"/>
    <x v="7"/>
    <x v="2"/>
    <x v="2"/>
    <x v="0"/>
    <x v="0"/>
    <x v="0"/>
    <x v="19"/>
  </r>
  <r>
    <x v="195"/>
    <x v="0"/>
    <x v="1"/>
    <n v="10.199999999999999"/>
    <n v="20.399999999999999"/>
    <x v="7"/>
    <x v="1"/>
    <d v="2025-01-10T00:00:00"/>
    <x v="1"/>
    <x v="2"/>
    <x v="2"/>
    <x v="0"/>
    <x v="0"/>
    <x v="0"/>
    <x v="19"/>
  </r>
  <r>
    <x v="196"/>
    <x v="8"/>
    <x v="8"/>
    <n v="41"/>
    <n v="328"/>
    <x v="7"/>
    <x v="1"/>
    <d v="2025-01-08T00:00:00"/>
    <x v="7"/>
    <x v="2"/>
    <x v="2"/>
    <x v="1"/>
    <x v="2"/>
    <x v="0"/>
    <x v="19"/>
  </r>
  <r>
    <x v="197"/>
    <x v="10"/>
    <x v="3"/>
    <n v="50.8"/>
    <n v="355.59999999999997"/>
    <x v="7"/>
    <x v="1"/>
    <d v="2025-01-11T00:00:00"/>
    <x v="2"/>
    <x v="2"/>
    <x v="2"/>
    <x v="1"/>
    <x v="0"/>
    <x v="0"/>
    <x v="21"/>
  </r>
  <r>
    <x v="198"/>
    <x v="18"/>
    <x v="2"/>
    <n v="39.6"/>
    <n v="118.80000000000001"/>
    <x v="7"/>
    <x v="1"/>
    <d v="2025-01-09T00:00:00"/>
    <x v="3"/>
    <x v="1"/>
    <x v="1"/>
    <x v="2"/>
    <x v="2"/>
    <x v="0"/>
    <x v="1"/>
  </r>
  <r>
    <x v="199"/>
    <x v="5"/>
    <x v="1"/>
    <n v="69.5"/>
    <n v="139"/>
    <x v="7"/>
    <x v="1"/>
    <d v="2025-01-10T00:00:00"/>
    <x v="1"/>
    <x v="1"/>
    <x v="1"/>
    <x v="0"/>
    <x v="2"/>
    <x v="0"/>
    <x v="2"/>
  </r>
  <r>
    <x v="200"/>
    <x v="8"/>
    <x v="8"/>
    <n v="32.6"/>
    <n v="260.8"/>
    <x v="7"/>
    <x v="1"/>
    <d v="2025-01-11T00:00:00"/>
    <x v="2"/>
    <x v="1"/>
    <x v="1"/>
    <x v="1"/>
    <x v="0"/>
    <x v="0"/>
    <x v="3"/>
  </r>
  <r>
    <x v="201"/>
    <x v="7"/>
    <x v="1"/>
    <n v="49.1"/>
    <n v="98.2"/>
    <x v="7"/>
    <x v="1"/>
    <d v="2025-01-16T00:00:00"/>
    <x v="9"/>
    <x v="1"/>
    <x v="1"/>
    <x v="3"/>
    <x v="2"/>
    <x v="0"/>
    <x v="3"/>
  </r>
  <r>
    <x v="202"/>
    <x v="6"/>
    <x v="1"/>
    <n v="49.4"/>
    <n v="98.8"/>
    <x v="8"/>
    <x v="1"/>
    <d v="2025-01-10T00:00:00"/>
    <x v="3"/>
    <x v="2"/>
    <x v="2"/>
    <x v="2"/>
    <x v="0"/>
    <x v="0"/>
    <x v="3"/>
  </r>
  <r>
    <x v="203"/>
    <x v="7"/>
    <x v="3"/>
    <n v="65.099999999999994"/>
    <n v="455.69999999999993"/>
    <x v="8"/>
    <x v="1"/>
    <d v="2025-01-12T00:00:00"/>
    <x v="2"/>
    <x v="2"/>
    <x v="2"/>
    <x v="2"/>
    <x v="2"/>
    <x v="0"/>
    <x v="3"/>
  </r>
  <r>
    <x v="204"/>
    <x v="3"/>
    <x v="1"/>
    <n v="52.1"/>
    <n v="104.2"/>
    <x v="8"/>
    <x v="1"/>
    <d v="2025-01-13T00:00:00"/>
    <x v="5"/>
    <x v="2"/>
    <x v="2"/>
    <x v="2"/>
    <x v="0"/>
    <x v="0"/>
    <x v="3"/>
  </r>
  <r>
    <x v="205"/>
    <x v="2"/>
    <x v="12"/>
    <n v="129.19999999999999"/>
    <n v="516.79999999999995"/>
    <x v="8"/>
    <x v="1"/>
    <d v="2025-01-10T00:00:00"/>
    <x v="3"/>
    <x v="2"/>
    <x v="2"/>
    <x v="1"/>
    <x v="0"/>
    <x v="0"/>
    <x v="3"/>
  </r>
  <r>
    <x v="206"/>
    <x v="1"/>
    <x v="10"/>
    <n v="81.8"/>
    <n v="1554.2"/>
    <x v="8"/>
    <x v="1"/>
    <d v="2025-01-09T00:00:00"/>
    <x v="7"/>
    <x v="2"/>
    <x v="2"/>
    <x v="1"/>
    <x v="1"/>
    <x v="0"/>
    <x v="3"/>
  </r>
  <r>
    <x v="207"/>
    <x v="17"/>
    <x v="0"/>
    <n v="24.9"/>
    <n v="24.9"/>
    <x v="8"/>
    <x v="1"/>
    <d v="2025-01-13T00:00:00"/>
    <x v="5"/>
    <x v="2"/>
    <x v="2"/>
    <x v="1"/>
    <x v="0"/>
    <x v="0"/>
    <x v="3"/>
  </r>
  <r>
    <x v="208"/>
    <x v="0"/>
    <x v="2"/>
    <n v="49.4"/>
    <n v="148.19999999999999"/>
    <x v="8"/>
    <x v="1"/>
    <d v="2025-01-12T00:00:00"/>
    <x v="2"/>
    <x v="2"/>
    <x v="2"/>
    <x v="4"/>
    <x v="4"/>
    <x v="0"/>
    <x v="3"/>
  </r>
  <r>
    <x v="209"/>
    <x v="8"/>
    <x v="1"/>
    <n v="22.7"/>
    <n v="45.4"/>
    <x v="8"/>
    <x v="1"/>
    <d v="2025-01-10T00:00:00"/>
    <x v="3"/>
    <x v="1"/>
    <x v="1"/>
    <x v="3"/>
    <x v="2"/>
    <x v="0"/>
    <x v="3"/>
  </r>
  <r>
    <x v="210"/>
    <x v="1"/>
    <x v="0"/>
    <n v="77.3"/>
    <n v="77.3"/>
    <x v="8"/>
    <x v="1"/>
    <d v="2025-01-09T00:00:00"/>
    <x v="7"/>
    <x v="2"/>
    <x v="2"/>
    <x v="0"/>
    <x v="2"/>
    <x v="0"/>
    <x v="6"/>
  </r>
  <r>
    <x v="211"/>
    <x v="1"/>
    <x v="9"/>
    <n v="109.1"/>
    <n v="545.5"/>
    <x v="8"/>
    <x v="1"/>
    <d v="2025-01-12T00:00:00"/>
    <x v="2"/>
    <x v="2"/>
    <x v="2"/>
    <x v="0"/>
    <x v="0"/>
    <x v="0"/>
    <x v="6"/>
  </r>
  <r>
    <x v="212"/>
    <x v="2"/>
    <x v="12"/>
    <n v="53.9"/>
    <n v="215.6"/>
    <x v="8"/>
    <x v="1"/>
    <d v="2025-01-10T00:00:00"/>
    <x v="3"/>
    <x v="1"/>
    <x v="1"/>
    <x v="0"/>
    <x v="1"/>
    <x v="0"/>
    <x v="8"/>
  </r>
  <r>
    <x v="213"/>
    <x v="9"/>
    <x v="18"/>
    <n v="21.2"/>
    <n v="551.19999999999993"/>
    <x v="8"/>
    <x v="1"/>
    <d v="2025-01-09T00:00:00"/>
    <x v="7"/>
    <x v="2"/>
    <x v="2"/>
    <x v="0"/>
    <x v="0"/>
    <x v="0"/>
    <x v="9"/>
  </r>
  <r>
    <x v="214"/>
    <x v="16"/>
    <x v="12"/>
    <n v="69"/>
    <n v="276"/>
    <x v="8"/>
    <x v="1"/>
    <d v="2025-01-11T00:00:00"/>
    <x v="1"/>
    <x v="2"/>
    <x v="2"/>
    <x v="1"/>
    <x v="1"/>
    <x v="0"/>
    <x v="18"/>
  </r>
  <r>
    <x v="215"/>
    <x v="6"/>
    <x v="2"/>
    <n v="46.2"/>
    <n v="138.60000000000002"/>
    <x v="8"/>
    <x v="1"/>
    <d v="2025-01-11T00:00:00"/>
    <x v="1"/>
    <x v="2"/>
    <x v="2"/>
    <x v="0"/>
    <x v="2"/>
    <x v="0"/>
    <x v="31"/>
  </r>
  <r>
    <x v="216"/>
    <x v="1"/>
    <x v="9"/>
    <n v="97.4"/>
    <n v="487"/>
    <x v="8"/>
    <x v="1"/>
    <d v="2025-01-13T00:00:00"/>
    <x v="5"/>
    <x v="2"/>
    <x v="2"/>
    <x v="4"/>
    <x v="2"/>
    <x v="0"/>
    <x v="21"/>
  </r>
  <r>
    <x v="217"/>
    <x v="8"/>
    <x v="9"/>
    <n v="21"/>
    <n v="105"/>
    <x v="8"/>
    <x v="1"/>
    <d v="2025-01-10T00:00:00"/>
    <x v="3"/>
    <x v="1"/>
    <x v="1"/>
    <x v="0"/>
    <x v="1"/>
    <x v="0"/>
    <x v="21"/>
  </r>
  <r>
    <x v="218"/>
    <x v="5"/>
    <x v="1"/>
    <n v="32.700000000000003"/>
    <n v="65.400000000000006"/>
    <x v="9"/>
    <x v="1"/>
    <d v="2025-01-13T00:00:00"/>
    <x v="2"/>
    <x v="2"/>
    <x v="2"/>
    <x v="1"/>
    <x v="0"/>
    <x v="0"/>
    <x v="2"/>
  </r>
  <r>
    <x v="219"/>
    <x v="6"/>
    <x v="12"/>
    <n v="48"/>
    <n v="192"/>
    <x v="9"/>
    <x v="1"/>
    <d v="2025-01-11T00:00:00"/>
    <x v="3"/>
    <x v="1"/>
    <x v="1"/>
    <x v="3"/>
    <x v="0"/>
    <x v="0"/>
    <x v="3"/>
  </r>
  <r>
    <x v="220"/>
    <x v="6"/>
    <x v="2"/>
    <n v="68.2"/>
    <n v="204.60000000000002"/>
    <x v="9"/>
    <x v="1"/>
    <d v="2025-01-14T00:00:00"/>
    <x v="5"/>
    <x v="0"/>
    <x v="0"/>
    <x v="0"/>
    <x v="2"/>
    <x v="0"/>
    <x v="3"/>
  </r>
  <r>
    <x v="221"/>
    <x v="5"/>
    <x v="0"/>
    <n v="45.4"/>
    <n v="45.4"/>
    <x v="9"/>
    <x v="1"/>
    <d v="2025-01-12T00:00:00"/>
    <x v="1"/>
    <x v="1"/>
    <x v="1"/>
    <x v="1"/>
    <x v="0"/>
    <x v="0"/>
    <x v="3"/>
  </r>
  <r>
    <x v="222"/>
    <x v="12"/>
    <x v="1"/>
    <n v="53.9"/>
    <n v="107.8"/>
    <x v="9"/>
    <x v="1"/>
    <d v="2025-01-11T00:00:00"/>
    <x v="3"/>
    <x v="2"/>
    <x v="2"/>
    <x v="2"/>
    <x v="0"/>
    <x v="0"/>
    <x v="3"/>
  </r>
  <r>
    <x v="223"/>
    <x v="2"/>
    <x v="12"/>
    <n v="62.1"/>
    <n v="248.4"/>
    <x v="9"/>
    <x v="1"/>
    <d v="2025-01-14T00:00:00"/>
    <x v="5"/>
    <x v="2"/>
    <x v="2"/>
    <x v="0"/>
    <x v="0"/>
    <x v="0"/>
    <x v="4"/>
  </r>
  <r>
    <x v="224"/>
    <x v="13"/>
    <x v="3"/>
    <n v="33.1"/>
    <n v="231.70000000000002"/>
    <x v="9"/>
    <x v="1"/>
    <d v="2025-01-15T00:00:00"/>
    <x v="0"/>
    <x v="1"/>
    <x v="1"/>
    <x v="1"/>
    <x v="0"/>
    <x v="0"/>
    <x v="6"/>
  </r>
  <r>
    <x v="225"/>
    <x v="18"/>
    <x v="9"/>
    <n v="35.200000000000003"/>
    <n v="176"/>
    <x v="9"/>
    <x v="1"/>
    <d v="2025-01-10T00:00:00"/>
    <x v="7"/>
    <x v="2"/>
    <x v="2"/>
    <x v="1"/>
    <x v="0"/>
    <x v="0"/>
    <x v="6"/>
  </r>
  <r>
    <x v="226"/>
    <x v="9"/>
    <x v="2"/>
    <n v="32.1"/>
    <n v="96.300000000000011"/>
    <x v="9"/>
    <x v="1"/>
    <d v="2025-01-15T00:00:00"/>
    <x v="0"/>
    <x v="1"/>
    <x v="1"/>
    <x v="3"/>
    <x v="0"/>
    <x v="0"/>
    <x v="8"/>
  </r>
  <r>
    <x v="227"/>
    <x v="11"/>
    <x v="0"/>
    <n v="38.1"/>
    <n v="38.1"/>
    <x v="9"/>
    <x v="1"/>
    <d v="2025-01-15T00:00:00"/>
    <x v="0"/>
    <x v="2"/>
    <x v="2"/>
    <x v="0"/>
    <x v="2"/>
    <x v="0"/>
    <x v="8"/>
  </r>
  <r>
    <x v="228"/>
    <x v="8"/>
    <x v="0"/>
    <n v="65.2"/>
    <n v="65.2"/>
    <x v="9"/>
    <x v="1"/>
    <d v="2025-01-15T00:00:00"/>
    <x v="0"/>
    <x v="2"/>
    <x v="2"/>
    <x v="3"/>
    <x v="1"/>
    <x v="0"/>
    <x v="8"/>
  </r>
  <r>
    <x v="229"/>
    <x v="10"/>
    <x v="3"/>
    <n v="55.2"/>
    <n v="386.40000000000003"/>
    <x v="9"/>
    <x v="1"/>
    <d v="2025-01-11T00:00:00"/>
    <x v="3"/>
    <x v="1"/>
    <x v="1"/>
    <x v="2"/>
    <x v="0"/>
    <x v="0"/>
    <x v="11"/>
  </r>
  <r>
    <x v="230"/>
    <x v="6"/>
    <x v="0"/>
    <n v="62"/>
    <n v="62"/>
    <x v="9"/>
    <x v="1"/>
    <d v="2025-01-14T00:00:00"/>
    <x v="5"/>
    <x v="2"/>
    <x v="2"/>
    <x v="0"/>
    <x v="0"/>
    <x v="0"/>
    <x v="11"/>
  </r>
  <r>
    <x v="231"/>
    <x v="7"/>
    <x v="2"/>
    <n v="45.9"/>
    <n v="137.69999999999999"/>
    <x v="9"/>
    <x v="1"/>
    <d v="2025-01-11T00:00:00"/>
    <x v="3"/>
    <x v="2"/>
    <x v="2"/>
    <x v="2"/>
    <x v="0"/>
    <x v="0"/>
    <x v="32"/>
  </r>
  <r>
    <x v="232"/>
    <x v="18"/>
    <x v="2"/>
    <n v="58.3"/>
    <n v="174.89999999999998"/>
    <x v="9"/>
    <x v="1"/>
    <d v="2025-01-10T00:00:00"/>
    <x v="7"/>
    <x v="1"/>
    <x v="1"/>
    <x v="1"/>
    <x v="1"/>
    <x v="0"/>
    <x v="18"/>
  </r>
  <r>
    <x v="233"/>
    <x v="8"/>
    <x v="1"/>
    <n v="22.3"/>
    <n v="44.6"/>
    <x v="9"/>
    <x v="1"/>
    <d v="2025-01-13T00:00:00"/>
    <x v="2"/>
    <x v="2"/>
    <x v="2"/>
    <x v="0"/>
    <x v="2"/>
    <x v="0"/>
    <x v="20"/>
  </r>
  <r>
    <x v="234"/>
    <x v="19"/>
    <x v="9"/>
    <n v="24"/>
    <n v="120"/>
    <x v="9"/>
    <x v="1"/>
    <d v="2025-01-11T00:00:00"/>
    <x v="3"/>
    <x v="1"/>
    <x v="1"/>
    <x v="4"/>
    <x v="0"/>
    <x v="0"/>
    <x v="1"/>
  </r>
  <r>
    <x v="235"/>
    <x v="0"/>
    <x v="7"/>
    <n v="21.3"/>
    <n v="213"/>
    <x v="9"/>
    <x v="1"/>
    <d v="2025-01-10T00:00:00"/>
    <x v="7"/>
    <x v="2"/>
    <x v="2"/>
    <x v="1"/>
    <x v="2"/>
    <x v="0"/>
    <x v="22"/>
  </r>
  <r>
    <x v="236"/>
    <x v="6"/>
    <x v="24"/>
    <n v="57.8"/>
    <n v="2369.7999999999997"/>
    <x v="9"/>
    <x v="1"/>
    <d v="2025-01-12T00:00:00"/>
    <x v="1"/>
    <x v="2"/>
    <x v="2"/>
    <x v="0"/>
    <x v="2"/>
    <x v="0"/>
    <x v="3"/>
  </r>
  <r>
    <x v="237"/>
    <x v="10"/>
    <x v="2"/>
    <n v="67.599999999999994"/>
    <n v="202.79999999999998"/>
    <x v="9"/>
    <x v="1"/>
    <d v="2025-01-11T00:00:00"/>
    <x v="3"/>
    <x v="2"/>
    <x v="2"/>
    <x v="0"/>
    <x v="0"/>
    <x v="0"/>
    <x v="3"/>
  </r>
  <r>
    <x v="238"/>
    <x v="6"/>
    <x v="13"/>
    <n v="66.7"/>
    <n v="400.20000000000005"/>
    <x v="9"/>
    <x v="1"/>
    <d v="2025-01-14T00:00:00"/>
    <x v="5"/>
    <x v="1"/>
    <x v="1"/>
    <x v="4"/>
    <x v="1"/>
    <x v="0"/>
    <x v="3"/>
  </r>
  <r>
    <x v="239"/>
    <x v="1"/>
    <x v="12"/>
    <n v="53.1"/>
    <n v="212.4"/>
    <x v="9"/>
    <x v="1"/>
    <d v="2025-01-12T00:00:00"/>
    <x v="1"/>
    <x v="2"/>
    <x v="2"/>
    <x v="1"/>
    <x v="0"/>
    <x v="0"/>
    <x v="3"/>
  </r>
  <r>
    <x v="240"/>
    <x v="12"/>
    <x v="2"/>
    <n v="57.4"/>
    <n v="172.2"/>
    <x v="9"/>
    <x v="1"/>
    <d v="2025-01-13T00:00:00"/>
    <x v="2"/>
    <x v="2"/>
    <x v="2"/>
    <x v="0"/>
    <x v="2"/>
    <x v="0"/>
    <x v="29"/>
  </r>
  <r>
    <x v="241"/>
    <x v="2"/>
    <x v="9"/>
    <n v="58.1"/>
    <n v="290.5"/>
    <x v="9"/>
    <x v="1"/>
    <d v="2025-01-10T00:00:00"/>
    <x v="7"/>
    <x v="1"/>
    <x v="1"/>
    <x v="2"/>
    <x v="2"/>
    <x v="0"/>
    <x v="6"/>
  </r>
  <r>
    <x v="242"/>
    <x v="5"/>
    <x v="2"/>
    <n v="31.8"/>
    <n v="95.4"/>
    <x v="10"/>
    <x v="1"/>
    <d v="2025-01-13T00:00:00"/>
    <x v="1"/>
    <x v="1"/>
    <x v="1"/>
    <x v="3"/>
    <x v="0"/>
    <x v="0"/>
    <x v="6"/>
  </r>
  <r>
    <x v="243"/>
    <x v="4"/>
    <x v="2"/>
    <n v="31.5"/>
    <n v="94.5"/>
    <x v="10"/>
    <x v="1"/>
    <d v="2025-01-14T00:00:00"/>
    <x v="2"/>
    <x v="1"/>
    <x v="1"/>
    <x v="0"/>
    <x v="1"/>
    <x v="0"/>
    <x v="8"/>
  </r>
  <r>
    <x v="244"/>
    <x v="6"/>
    <x v="3"/>
    <n v="55.9"/>
    <n v="391.3"/>
    <x v="10"/>
    <x v="1"/>
    <d v="2025-01-15T00:00:00"/>
    <x v="5"/>
    <x v="2"/>
    <x v="2"/>
    <x v="1"/>
    <x v="2"/>
    <x v="0"/>
    <x v="8"/>
  </r>
  <r>
    <x v="245"/>
    <x v="8"/>
    <x v="1"/>
    <n v="36.4"/>
    <n v="72.8"/>
    <x v="10"/>
    <x v="1"/>
    <d v="2025-01-12T00:00:00"/>
    <x v="3"/>
    <x v="1"/>
    <x v="1"/>
    <x v="1"/>
    <x v="1"/>
    <x v="0"/>
    <x v="9"/>
  </r>
  <r>
    <x v="246"/>
    <x v="1"/>
    <x v="9"/>
    <n v="47.3"/>
    <n v="236.5"/>
    <x v="10"/>
    <x v="1"/>
    <d v="2025-01-14T00:00:00"/>
    <x v="2"/>
    <x v="1"/>
    <x v="1"/>
    <x v="2"/>
    <x v="0"/>
    <x v="0"/>
    <x v="10"/>
  </r>
  <r>
    <x v="247"/>
    <x v="6"/>
    <x v="2"/>
    <n v="82.5"/>
    <n v="247.5"/>
    <x v="10"/>
    <x v="1"/>
    <d v="2025-01-12T00:00:00"/>
    <x v="3"/>
    <x v="1"/>
    <x v="1"/>
    <x v="0"/>
    <x v="0"/>
    <x v="0"/>
    <x v="11"/>
  </r>
  <r>
    <x v="248"/>
    <x v="0"/>
    <x v="0"/>
    <n v="14.3"/>
    <n v="14.3"/>
    <x v="10"/>
    <x v="1"/>
    <d v="2025-01-12T00:00:00"/>
    <x v="3"/>
    <x v="2"/>
    <x v="2"/>
    <x v="0"/>
    <x v="0"/>
    <x v="0"/>
    <x v="21"/>
  </r>
  <r>
    <x v="249"/>
    <x v="2"/>
    <x v="13"/>
    <n v="57.6"/>
    <n v="345.6"/>
    <x v="10"/>
    <x v="1"/>
    <d v="2025-01-25T00:00:00"/>
    <x v="12"/>
    <x v="2"/>
    <x v="2"/>
    <x v="0"/>
    <x v="0"/>
    <x v="0"/>
    <x v="21"/>
  </r>
  <r>
    <x v="250"/>
    <x v="2"/>
    <x v="2"/>
    <n v="142.4"/>
    <n v="427.20000000000005"/>
    <x v="10"/>
    <x v="1"/>
    <d v="2025-01-13T00:00:00"/>
    <x v="1"/>
    <x v="1"/>
    <x v="1"/>
    <x v="4"/>
    <x v="1"/>
    <x v="0"/>
    <x v="21"/>
  </r>
  <r>
    <x v="251"/>
    <x v="12"/>
    <x v="0"/>
    <n v="30.2"/>
    <n v="30.2"/>
    <x v="10"/>
    <x v="1"/>
    <d v="2025-01-15T00:00:00"/>
    <x v="5"/>
    <x v="1"/>
    <x v="1"/>
    <x v="1"/>
    <x v="2"/>
    <x v="0"/>
    <x v="2"/>
  </r>
  <r>
    <x v="252"/>
    <x v="18"/>
    <x v="2"/>
    <n v="65.3"/>
    <n v="195.89999999999998"/>
    <x v="10"/>
    <x v="1"/>
    <d v="2025-01-12T00:00:00"/>
    <x v="3"/>
    <x v="3"/>
    <x v="3"/>
    <x v="1"/>
    <x v="0"/>
    <x v="0"/>
    <x v="33"/>
  </r>
  <r>
    <x v="253"/>
    <x v="0"/>
    <x v="1"/>
    <n v="33.4"/>
    <n v="66.8"/>
    <x v="10"/>
    <x v="1"/>
    <d v="2025-01-12T00:00:00"/>
    <x v="3"/>
    <x v="1"/>
    <x v="1"/>
    <x v="1"/>
    <x v="1"/>
    <x v="0"/>
    <x v="22"/>
  </r>
  <r>
    <x v="254"/>
    <x v="7"/>
    <x v="1"/>
    <n v="45.1"/>
    <n v="90.2"/>
    <x v="10"/>
    <x v="1"/>
    <d v="2025-01-19T00:00:00"/>
    <x v="9"/>
    <x v="1"/>
    <x v="1"/>
    <x v="0"/>
    <x v="0"/>
    <x v="0"/>
    <x v="34"/>
  </r>
  <r>
    <x v="255"/>
    <x v="2"/>
    <x v="3"/>
    <n v="61.7"/>
    <n v="431.90000000000003"/>
    <x v="10"/>
    <x v="1"/>
    <d v="2025-01-13T00:00:00"/>
    <x v="1"/>
    <x v="2"/>
    <x v="2"/>
    <x v="4"/>
    <x v="0"/>
    <x v="0"/>
    <x v="3"/>
  </r>
  <r>
    <x v="256"/>
    <x v="9"/>
    <x v="2"/>
    <n v="45.1"/>
    <n v="135.30000000000001"/>
    <x v="11"/>
    <x v="2"/>
    <d v="2025-01-13T00:00:00"/>
    <x v="3"/>
    <x v="1"/>
    <x v="1"/>
    <x v="4"/>
    <x v="1"/>
    <x v="0"/>
    <x v="3"/>
  </r>
  <r>
    <x v="257"/>
    <x v="15"/>
    <x v="9"/>
    <n v="22.7"/>
    <n v="113.5"/>
    <x v="11"/>
    <x v="2"/>
    <d v="2025-01-17T00:00:00"/>
    <x v="0"/>
    <x v="1"/>
    <x v="1"/>
    <x v="0"/>
    <x v="2"/>
    <x v="0"/>
    <x v="35"/>
  </r>
  <r>
    <x v="258"/>
    <x v="8"/>
    <x v="0"/>
    <n v="17.600000000000001"/>
    <n v="17.600000000000001"/>
    <x v="11"/>
    <x v="2"/>
    <d v="2025-01-13T00:00:00"/>
    <x v="3"/>
    <x v="2"/>
    <x v="2"/>
    <x v="0"/>
    <x v="2"/>
    <x v="0"/>
    <x v="23"/>
  </r>
  <r>
    <x v="259"/>
    <x v="14"/>
    <x v="1"/>
    <n v="11.3"/>
    <n v="22.6"/>
    <x v="11"/>
    <x v="2"/>
    <d v="2025-01-15T00:00:00"/>
    <x v="2"/>
    <x v="2"/>
    <x v="2"/>
    <x v="3"/>
    <x v="2"/>
    <x v="0"/>
    <x v="23"/>
  </r>
  <r>
    <x v="260"/>
    <x v="6"/>
    <x v="2"/>
    <n v="53.4"/>
    <n v="160.19999999999999"/>
    <x v="11"/>
    <x v="2"/>
    <d v="2025-01-15T00:00:00"/>
    <x v="2"/>
    <x v="1"/>
    <x v="1"/>
    <x v="3"/>
    <x v="2"/>
    <x v="0"/>
    <x v="36"/>
  </r>
  <r>
    <x v="261"/>
    <x v="6"/>
    <x v="5"/>
    <n v="51.1"/>
    <n v="562.1"/>
    <x v="11"/>
    <x v="2"/>
    <d v="2025-01-14T00:00:00"/>
    <x v="1"/>
    <x v="2"/>
    <x v="2"/>
    <x v="2"/>
    <x v="2"/>
    <x v="0"/>
    <x v="8"/>
  </r>
  <r>
    <x v="262"/>
    <x v="8"/>
    <x v="1"/>
    <n v="27.5"/>
    <n v="55"/>
    <x v="11"/>
    <x v="2"/>
    <d v="2025-01-13T00:00:00"/>
    <x v="3"/>
    <x v="1"/>
    <x v="1"/>
    <x v="4"/>
    <x v="1"/>
    <x v="0"/>
    <x v="8"/>
  </r>
  <r>
    <x v="263"/>
    <x v="9"/>
    <x v="0"/>
    <n v="33.5"/>
    <n v="33.5"/>
    <x v="11"/>
    <x v="2"/>
    <d v="2025-01-14T00:00:00"/>
    <x v="1"/>
    <x v="2"/>
    <x v="2"/>
    <x v="0"/>
    <x v="4"/>
    <x v="0"/>
    <x v="8"/>
  </r>
  <r>
    <x v="264"/>
    <x v="4"/>
    <x v="0"/>
    <n v="59.5"/>
    <n v="59.5"/>
    <x v="11"/>
    <x v="2"/>
    <d v="2025-01-12T00:00:00"/>
    <x v="7"/>
    <x v="1"/>
    <x v="1"/>
    <x v="0"/>
    <x v="2"/>
    <x v="0"/>
    <x v="18"/>
  </r>
  <r>
    <x v="265"/>
    <x v="17"/>
    <x v="12"/>
    <n v="23.5"/>
    <n v="94"/>
    <x v="11"/>
    <x v="2"/>
    <d v="2025-01-13T00:00:00"/>
    <x v="3"/>
    <x v="2"/>
    <x v="2"/>
    <x v="3"/>
    <x v="3"/>
    <x v="0"/>
    <x v="19"/>
  </r>
  <r>
    <x v="266"/>
    <x v="6"/>
    <x v="0"/>
    <n v="49.7"/>
    <n v="49.7"/>
    <x v="11"/>
    <x v="2"/>
    <d v="2025-01-13T00:00:00"/>
    <x v="3"/>
    <x v="0"/>
    <x v="0"/>
    <x v="1"/>
    <x v="2"/>
    <x v="0"/>
    <x v="20"/>
  </r>
  <r>
    <x v="267"/>
    <x v="6"/>
    <x v="12"/>
    <n v="44.2"/>
    <n v="176.8"/>
    <x v="11"/>
    <x v="2"/>
    <d v="2025-01-15T00:00:00"/>
    <x v="2"/>
    <x v="2"/>
    <x v="2"/>
    <x v="0"/>
    <x v="2"/>
    <x v="0"/>
    <x v="21"/>
  </r>
  <r>
    <x v="268"/>
    <x v="8"/>
    <x v="0"/>
    <n v="22.1"/>
    <n v="22.1"/>
    <x v="11"/>
    <x v="2"/>
    <d v="2025-01-16T00:00:00"/>
    <x v="5"/>
    <x v="2"/>
    <x v="2"/>
    <x v="1"/>
    <x v="1"/>
    <x v="0"/>
    <x v="33"/>
  </r>
  <r>
    <x v="269"/>
    <x v="6"/>
    <x v="2"/>
    <n v="90.9"/>
    <n v="272.70000000000005"/>
    <x v="11"/>
    <x v="2"/>
    <d v="2025-01-13T00:00:00"/>
    <x v="3"/>
    <x v="2"/>
    <x v="2"/>
    <x v="2"/>
    <x v="4"/>
    <x v="0"/>
    <x v="3"/>
  </r>
  <r>
    <x v="270"/>
    <x v="8"/>
    <x v="2"/>
    <n v="44.5"/>
    <n v="133.5"/>
    <x v="11"/>
    <x v="2"/>
    <d v="2025-01-13T00:00:00"/>
    <x v="3"/>
    <x v="2"/>
    <x v="2"/>
    <x v="1"/>
    <x v="0"/>
    <x v="0"/>
    <x v="3"/>
  </r>
  <r>
    <x v="271"/>
    <x v="9"/>
    <x v="13"/>
    <n v="32.299999999999997"/>
    <n v="193.79999999999998"/>
    <x v="11"/>
    <x v="2"/>
    <d v="2025-01-16T00:00:00"/>
    <x v="5"/>
    <x v="2"/>
    <x v="2"/>
    <x v="0"/>
    <x v="0"/>
    <x v="0"/>
    <x v="3"/>
  </r>
  <r>
    <x v="272"/>
    <x v="17"/>
    <x v="2"/>
    <n v="87.5"/>
    <n v="262.5"/>
    <x v="11"/>
    <x v="2"/>
    <d v="2025-01-13T00:00:00"/>
    <x v="3"/>
    <x v="2"/>
    <x v="2"/>
    <x v="1"/>
    <x v="1"/>
    <x v="0"/>
    <x v="3"/>
  </r>
  <r>
    <x v="273"/>
    <x v="16"/>
    <x v="9"/>
    <n v="48.7"/>
    <n v="243.5"/>
    <x v="11"/>
    <x v="2"/>
    <d v="2025-01-13T00:00:00"/>
    <x v="3"/>
    <x v="1"/>
    <x v="1"/>
    <x v="2"/>
    <x v="0"/>
    <x v="0"/>
    <x v="3"/>
  </r>
  <r>
    <x v="274"/>
    <x v="0"/>
    <x v="9"/>
    <n v="22.5"/>
    <n v="112.5"/>
    <x v="11"/>
    <x v="2"/>
    <d v="2025-01-13T00:00:00"/>
    <x v="3"/>
    <x v="1"/>
    <x v="1"/>
    <x v="0"/>
    <x v="0"/>
    <x v="0"/>
    <x v="3"/>
  </r>
  <r>
    <x v="275"/>
    <x v="1"/>
    <x v="8"/>
    <n v="65.900000000000006"/>
    <n v="527.20000000000005"/>
    <x v="11"/>
    <x v="2"/>
    <d v="2025-01-15T00:00:00"/>
    <x v="2"/>
    <x v="2"/>
    <x v="2"/>
    <x v="1"/>
    <x v="2"/>
    <x v="0"/>
    <x v="3"/>
  </r>
  <r>
    <x v="276"/>
    <x v="6"/>
    <x v="9"/>
    <n v="41.9"/>
    <n v="209.5"/>
    <x v="11"/>
    <x v="2"/>
    <d v="2025-01-19T00:00:00"/>
    <x v="6"/>
    <x v="0"/>
    <x v="0"/>
    <x v="0"/>
    <x v="0"/>
    <x v="0"/>
    <x v="3"/>
  </r>
  <r>
    <x v="277"/>
    <x v="1"/>
    <x v="9"/>
    <n v="67.5"/>
    <n v="337.5"/>
    <x v="11"/>
    <x v="2"/>
    <d v="2025-01-13T00:00:00"/>
    <x v="3"/>
    <x v="2"/>
    <x v="2"/>
    <x v="0"/>
    <x v="2"/>
    <x v="0"/>
    <x v="3"/>
  </r>
  <r>
    <x v="278"/>
    <x v="9"/>
    <x v="0"/>
    <n v="60.4"/>
    <n v="60.4"/>
    <x v="12"/>
    <x v="2"/>
    <d v="2025-01-15T00:00:00"/>
    <x v="1"/>
    <x v="2"/>
    <x v="2"/>
    <x v="1"/>
    <x v="1"/>
    <x v="0"/>
    <x v="3"/>
  </r>
  <r>
    <x v="279"/>
    <x v="1"/>
    <x v="3"/>
    <n v="30.4"/>
    <n v="212.79999999999998"/>
    <x v="12"/>
    <x v="2"/>
    <d v="2025-01-16T00:00:00"/>
    <x v="2"/>
    <x v="2"/>
    <x v="2"/>
    <x v="4"/>
    <x v="0"/>
    <x v="0"/>
    <x v="3"/>
  </r>
  <r>
    <x v="280"/>
    <x v="14"/>
    <x v="1"/>
    <n v="24.5"/>
    <n v="49"/>
    <x v="12"/>
    <x v="2"/>
    <d v="2025-01-14T00:00:00"/>
    <x v="3"/>
    <x v="1"/>
    <x v="1"/>
    <x v="3"/>
    <x v="2"/>
    <x v="0"/>
    <x v="3"/>
  </r>
  <r>
    <x v="281"/>
    <x v="2"/>
    <x v="2"/>
    <n v="105.9"/>
    <n v="317.70000000000005"/>
    <x v="12"/>
    <x v="2"/>
    <d v="2025-01-18T00:00:00"/>
    <x v="0"/>
    <x v="1"/>
    <x v="1"/>
    <x v="0"/>
    <x v="0"/>
    <x v="0"/>
    <x v="37"/>
  </r>
  <r>
    <x v="282"/>
    <x v="10"/>
    <x v="25"/>
    <n v="25.9"/>
    <n v="621.59999999999991"/>
    <x v="12"/>
    <x v="2"/>
    <d v="2025-01-14T00:00:00"/>
    <x v="3"/>
    <x v="2"/>
    <x v="2"/>
    <x v="4"/>
    <x v="0"/>
    <x v="0"/>
    <x v="23"/>
  </r>
  <r>
    <x v="283"/>
    <x v="6"/>
    <x v="2"/>
    <n v="66.8"/>
    <n v="200.39999999999998"/>
    <x v="12"/>
    <x v="2"/>
    <d v="2025-01-13T00:00:00"/>
    <x v="7"/>
    <x v="1"/>
    <x v="1"/>
    <x v="0"/>
    <x v="0"/>
    <x v="0"/>
    <x v="23"/>
  </r>
  <r>
    <x v="284"/>
    <x v="6"/>
    <x v="2"/>
    <n v="112.3"/>
    <n v="336.9"/>
    <x v="12"/>
    <x v="2"/>
    <d v="2025-01-14T00:00:00"/>
    <x v="3"/>
    <x v="1"/>
    <x v="1"/>
    <x v="2"/>
    <x v="4"/>
    <x v="0"/>
    <x v="6"/>
  </r>
  <r>
    <x v="285"/>
    <x v="1"/>
    <x v="13"/>
    <n v="94.1"/>
    <n v="564.59999999999991"/>
    <x v="12"/>
    <x v="2"/>
    <d v="2025-01-14T00:00:00"/>
    <x v="3"/>
    <x v="2"/>
    <x v="2"/>
    <x v="0"/>
    <x v="4"/>
    <x v="0"/>
    <x v="6"/>
  </r>
  <r>
    <x v="286"/>
    <x v="5"/>
    <x v="0"/>
    <n v="40.700000000000003"/>
    <n v="40.700000000000003"/>
    <x v="12"/>
    <x v="2"/>
    <d v="2025-01-16T00:00:00"/>
    <x v="2"/>
    <x v="2"/>
    <x v="2"/>
    <x v="2"/>
    <x v="0"/>
    <x v="0"/>
    <x v="6"/>
  </r>
  <r>
    <x v="287"/>
    <x v="3"/>
    <x v="1"/>
    <n v="71.400000000000006"/>
    <n v="142.80000000000001"/>
    <x v="12"/>
    <x v="2"/>
    <d v="2025-01-14T00:00:00"/>
    <x v="3"/>
    <x v="1"/>
    <x v="1"/>
    <x v="0"/>
    <x v="0"/>
    <x v="0"/>
    <x v="7"/>
  </r>
  <r>
    <x v="288"/>
    <x v="0"/>
    <x v="16"/>
    <n v="15.6"/>
    <n v="280.8"/>
    <x v="12"/>
    <x v="2"/>
    <d v="2025-01-14T00:00:00"/>
    <x v="3"/>
    <x v="1"/>
    <x v="1"/>
    <x v="1"/>
    <x v="3"/>
    <x v="0"/>
    <x v="8"/>
  </r>
  <r>
    <x v="289"/>
    <x v="10"/>
    <x v="12"/>
    <n v="37.799999999999997"/>
    <n v="151.19999999999999"/>
    <x v="12"/>
    <x v="2"/>
    <d v="2025-01-14T00:00:00"/>
    <x v="3"/>
    <x v="1"/>
    <x v="1"/>
    <x v="2"/>
    <x v="2"/>
    <x v="0"/>
    <x v="8"/>
  </r>
  <r>
    <x v="290"/>
    <x v="4"/>
    <x v="2"/>
    <n v="28.1"/>
    <n v="84.300000000000011"/>
    <x v="12"/>
    <x v="2"/>
    <d v="2025-01-17T00:00:00"/>
    <x v="5"/>
    <x v="1"/>
    <x v="1"/>
    <x v="0"/>
    <x v="0"/>
    <x v="0"/>
    <x v="8"/>
  </r>
  <r>
    <x v="291"/>
    <x v="7"/>
    <x v="13"/>
    <n v="51.4"/>
    <n v="308.39999999999998"/>
    <x v="12"/>
    <x v="2"/>
    <d v="2025-01-17T00:00:00"/>
    <x v="5"/>
    <x v="1"/>
    <x v="1"/>
    <x v="0"/>
    <x v="0"/>
    <x v="0"/>
    <x v="8"/>
  </r>
  <r>
    <x v="292"/>
    <x v="7"/>
    <x v="1"/>
    <n v="97.7"/>
    <n v="195.4"/>
    <x v="12"/>
    <x v="2"/>
    <d v="2025-01-15T00:00:00"/>
    <x v="1"/>
    <x v="2"/>
    <x v="2"/>
    <x v="4"/>
    <x v="2"/>
    <x v="0"/>
    <x v="17"/>
  </r>
  <r>
    <x v="293"/>
    <x v="1"/>
    <x v="12"/>
    <n v="63.8"/>
    <n v="255.2"/>
    <x v="12"/>
    <x v="2"/>
    <d v="2025-01-14T00:00:00"/>
    <x v="3"/>
    <x v="1"/>
    <x v="1"/>
    <x v="2"/>
    <x v="0"/>
    <x v="0"/>
    <x v="38"/>
  </r>
  <r>
    <x v="294"/>
    <x v="13"/>
    <x v="1"/>
    <n v="20.100000000000001"/>
    <n v="40.200000000000003"/>
    <x v="12"/>
    <x v="2"/>
    <d v="2025-01-15T00:00:00"/>
    <x v="1"/>
    <x v="1"/>
    <x v="1"/>
    <x v="0"/>
    <x v="2"/>
    <x v="0"/>
    <x v="20"/>
  </r>
  <r>
    <x v="295"/>
    <x v="11"/>
    <x v="2"/>
    <n v="50.4"/>
    <n v="151.19999999999999"/>
    <x v="12"/>
    <x v="2"/>
    <d v="2025-01-16T00:00:00"/>
    <x v="2"/>
    <x v="2"/>
    <x v="2"/>
    <x v="3"/>
    <x v="0"/>
    <x v="0"/>
    <x v="13"/>
  </r>
  <r>
    <x v="296"/>
    <x v="0"/>
    <x v="0"/>
    <n v="16.2"/>
    <n v="16.2"/>
    <x v="12"/>
    <x v="2"/>
    <d v="2025-01-26T00:00:00"/>
    <x v="10"/>
    <x v="2"/>
    <x v="2"/>
    <x v="1"/>
    <x v="0"/>
    <x v="0"/>
    <x v="1"/>
  </r>
  <r>
    <x v="297"/>
    <x v="6"/>
    <x v="3"/>
    <n v="80.900000000000006"/>
    <n v="566.30000000000007"/>
    <x v="12"/>
    <x v="2"/>
    <d v="2025-01-15T00:00:00"/>
    <x v="1"/>
    <x v="1"/>
    <x v="1"/>
    <x v="4"/>
    <x v="4"/>
    <x v="0"/>
    <x v="2"/>
  </r>
  <r>
    <x v="298"/>
    <x v="9"/>
    <x v="13"/>
    <n v="95.2"/>
    <n v="571.20000000000005"/>
    <x v="12"/>
    <x v="2"/>
    <d v="2025-01-15T00:00:00"/>
    <x v="1"/>
    <x v="2"/>
    <x v="2"/>
    <x v="0"/>
    <x v="2"/>
    <x v="0"/>
    <x v="2"/>
  </r>
  <r>
    <x v="299"/>
    <x v="5"/>
    <x v="8"/>
    <n v="70.400000000000006"/>
    <n v="563.20000000000005"/>
    <x v="12"/>
    <x v="2"/>
    <d v="2025-01-14T00:00:00"/>
    <x v="3"/>
    <x v="1"/>
    <x v="1"/>
    <x v="1"/>
    <x v="1"/>
    <x v="0"/>
    <x v="3"/>
  </r>
  <r>
    <x v="300"/>
    <x v="0"/>
    <x v="9"/>
    <n v="10.7"/>
    <n v="53.5"/>
    <x v="12"/>
    <x v="2"/>
    <d v="2025-01-17T00:00:00"/>
    <x v="5"/>
    <x v="2"/>
    <x v="2"/>
    <x v="2"/>
    <x v="0"/>
    <x v="0"/>
    <x v="3"/>
  </r>
  <r>
    <x v="301"/>
    <x v="8"/>
    <x v="9"/>
    <n v="19.600000000000001"/>
    <n v="98"/>
    <x v="12"/>
    <x v="2"/>
    <d v="2025-01-15T00:00:00"/>
    <x v="1"/>
    <x v="2"/>
    <x v="2"/>
    <x v="0"/>
    <x v="3"/>
    <x v="0"/>
    <x v="3"/>
  </r>
  <r>
    <x v="302"/>
    <x v="8"/>
    <x v="5"/>
    <n v="34.700000000000003"/>
    <n v="381.70000000000005"/>
    <x v="12"/>
    <x v="2"/>
    <d v="2025-01-15T00:00:00"/>
    <x v="1"/>
    <x v="2"/>
    <x v="2"/>
    <x v="0"/>
    <x v="2"/>
    <x v="0"/>
    <x v="3"/>
  </r>
  <r>
    <x v="303"/>
    <x v="10"/>
    <x v="11"/>
    <n v="34.1"/>
    <n v="306.90000000000003"/>
    <x v="12"/>
    <x v="2"/>
    <d v="2025-01-14T00:00:00"/>
    <x v="3"/>
    <x v="2"/>
    <x v="2"/>
    <x v="4"/>
    <x v="1"/>
    <x v="0"/>
    <x v="3"/>
  </r>
  <r>
    <x v="304"/>
    <x v="0"/>
    <x v="26"/>
    <n v="29.3"/>
    <n v="1435.7"/>
    <x v="12"/>
    <x v="2"/>
    <d v="2025-01-13T00:00:00"/>
    <x v="7"/>
    <x v="1"/>
    <x v="1"/>
    <x v="0"/>
    <x v="1"/>
    <x v="0"/>
    <x v="3"/>
  </r>
  <r>
    <x v="305"/>
    <x v="1"/>
    <x v="0"/>
    <n v="55.2"/>
    <n v="55.2"/>
    <x v="12"/>
    <x v="2"/>
    <d v="2025-01-14T00:00:00"/>
    <x v="3"/>
    <x v="2"/>
    <x v="2"/>
    <x v="0"/>
    <x v="1"/>
    <x v="0"/>
    <x v="3"/>
  </r>
  <r>
    <x v="306"/>
    <x v="18"/>
    <x v="2"/>
    <n v="26"/>
    <n v="78"/>
    <x v="12"/>
    <x v="2"/>
    <d v="2025-01-16T00:00:00"/>
    <x v="2"/>
    <x v="2"/>
    <x v="2"/>
    <x v="0"/>
    <x v="2"/>
    <x v="0"/>
    <x v="3"/>
  </r>
  <r>
    <x v="307"/>
    <x v="14"/>
    <x v="1"/>
    <n v="14.2"/>
    <n v="28.4"/>
    <x v="12"/>
    <x v="2"/>
    <d v="2025-01-18T00:00:00"/>
    <x v="0"/>
    <x v="2"/>
    <x v="2"/>
    <x v="3"/>
    <x v="0"/>
    <x v="0"/>
    <x v="39"/>
  </r>
  <r>
    <x v="308"/>
    <x v="8"/>
    <x v="11"/>
    <n v="22.7"/>
    <n v="204.29999999999998"/>
    <x v="13"/>
    <x v="2"/>
    <d v="2025-01-15T00:00:00"/>
    <x v="3"/>
    <x v="1"/>
    <x v="1"/>
    <x v="1"/>
    <x v="0"/>
    <x v="0"/>
    <x v="6"/>
  </r>
  <r>
    <x v="309"/>
    <x v="0"/>
    <x v="20"/>
    <n v="19.8"/>
    <n v="297"/>
    <x v="13"/>
    <x v="2"/>
    <d v="2025-01-14T00:00:00"/>
    <x v="7"/>
    <x v="2"/>
    <x v="2"/>
    <x v="0"/>
    <x v="2"/>
    <x v="0"/>
    <x v="6"/>
  </r>
  <r>
    <x v="310"/>
    <x v="0"/>
    <x v="2"/>
    <n v="31.7"/>
    <n v="95.1"/>
    <x v="13"/>
    <x v="2"/>
    <d v="2025-01-15T00:00:00"/>
    <x v="3"/>
    <x v="1"/>
    <x v="1"/>
    <x v="2"/>
    <x v="0"/>
    <x v="0"/>
    <x v="6"/>
  </r>
  <r>
    <x v="311"/>
    <x v="8"/>
    <x v="12"/>
    <n v="30.4"/>
    <n v="121.6"/>
    <x v="13"/>
    <x v="2"/>
    <d v="2025-01-18T00:00:00"/>
    <x v="5"/>
    <x v="1"/>
    <x v="1"/>
    <x v="0"/>
    <x v="0"/>
    <x v="0"/>
    <x v="6"/>
  </r>
  <r>
    <x v="312"/>
    <x v="0"/>
    <x v="12"/>
    <n v="25.6"/>
    <n v="102.4"/>
    <x v="13"/>
    <x v="2"/>
    <d v="2025-01-15T00:00:00"/>
    <x v="3"/>
    <x v="1"/>
    <x v="1"/>
    <x v="3"/>
    <x v="0"/>
    <x v="0"/>
    <x v="8"/>
  </r>
  <r>
    <x v="313"/>
    <x v="5"/>
    <x v="1"/>
    <n v="34.9"/>
    <n v="69.8"/>
    <x v="13"/>
    <x v="2"/>
    <d v="2025-01-15T00:00:00"/>
    <x v="3"/>
    <x v="2"/>
    <x v="2"/>
    <x v="2"/>
    <x v="0"/>
    <x v="0"/>
    <x v="9"/>
  </r>
  <r>
    <x v="314"/>
    <x v="7"/>
    <x v="13"/>
    <n v="42.7"/>
    <n v="256.20000000000005"/>
    <x v="13"/>
    <x v="2"/>
    <d v="2025-01-17T00:00:00"/>
    <x v="2"/>
    <x v="1"/>
    <x v="1"/>
    <x v="2"/>
    <x v="1"/>
    <x v="0"/>
    <x v="11"/>
  </r>
  <r>
    <x v="315"/>
    <x v="8"/>
    <x v="0"/>
    <n v="23.9"/>
    <n v="23.9"/>
    <x v="13"/>
    <x v="2"/>
    <d v="2025-01-16T00:00:00"/>
    <x v="1"/>
    <x v="2"/>
    <x v="2"/>
    <x v="3"/>
    <x v="0"/>
    <x v="0"/>
    <x v="11"/>
  </r>
  <r>
    <x v="316"/>
    <x v="6"/>
    <x v="0"/>
    <n v="124.3"/>
    <n v="124.3"/>
    <x v="13"/>
    <x v="2"/>
    <d v="2025-01-15T00:00:00"/>
    <x v="3"/>
    <x v="0"/>
    <x v="0"/>
    <x v="2"/>
    <x v="1"/>
    <x v="0"/>
    <x v="21"/>
  </r>
  <r>
    <x v="317"/>
    <x v="8"/>
    <x v="13"/>
    <n v="35.9"/>
    <n v="215.39999999999998"/>
    <x v="13"/>
    <x v="2"/>
    <d v="2025-01-15T00:00:00"/>
    <x v="3"/>
    <x v="2"/>
    <x v="2"/>
    <x v="0"/>
    <x v="1"/>
    <x v="0"/>
    <x v="1"/>
  </r>
  <r>
    <x v="318"/>
    <x v="2"/>
    <x v="1"/>
    <n v="69.099999999999994"/>
    <n v="138.19999999999999"/>
    <x v="13"/>
    <x v="2"/>
    <d v="2025-01-17T00:00:00"/>
    <x v="2"/>
    <x v="2"/>
    <x v="2"/>
    <x v="0"/>
    <x v="2"/>
    <x v="0"/>
    <x v="22"/>
  </r>
  <r>
    <x v="319"/>
    <x v="7"/>
    <x v="0"/>
    <n v="58.4"/>
    <n v="58.4"/>
    <x v="13"/>
    <x v="2"/>
    <d v="2025-01-18T00:00:00"/>
    <x v="5"/>
    <x v="1"/>
    <x v="1"/>
    <x v="0"/>
    <x v="0"/>
    <x v="0"/>
    <x v="22"/>
  </r>
  <r>
    <x v="320"/>
    <x v="5"/>
    <x v="0"/>
    <n v="65.2"/>
    <n v="65.2"/>
    <x v="13"/>
    <x v="2"/>
    <d v="2025-01-16T00:00:00"/>
    <x v="1"/>
    <x v="3"/>
    <x v="3"/>
    <x v="4"/>
    <x v="4"/>
    <x v="0"/>
    <x v="3"/>
  </r>
  <r>
    <x v="321"/>
    <x v="8"/>
    <x v="14"/>
    <n v="32.700000000000003"/>
    <n v="555.90000000000009"/>
    <x v="13"/>
    <x v="2"/>
    <d v="2025-01-21T00:00:00"/>
    <x v="6"/>
    <x v="0"/>
    <x v="0"/>
    <x v="4"/>
    <x v="0"/>
    <x v="0"/>
    <x v="3"/>
  </r>
  <r>
    <x v="322"/>
    <x v="10"/>
    <x v="3"/>
    <n v="24.4"/>
    <n v="170.79999999999998"/>
    <x v="13"/>
    <x v="2"/>
    <d v="2025-01-15T00:00:00"/>
    <x v="3"/>
    <x v="2"/>
    <x v="2"/>
    <x v="0"/>
    <x v="0"/>
    <x v="0"/>
    <x v="3"/>
  </r>
  <r>
    <x v="323"/>
    <x v="14"/>
    <x v="1"/>
    <n v="50.4"/>
    <n v="100.8"/>
    <x v="13"/>
    <x v="2"/>
    <d v="2025-01-20T00:00:00"/>
    <x v="4"/>
    <x v="1"/>
    <x v="1"/>
    <x v="0"/>
    <x v="1"/>
    <x v="0"/>
    <x v="3"/>
  </r>
  <r>
    <x v="324"/>
    <x v="1"/>
    <x v="1"/>
    <n v="100"/>
    <n v="200"/>
    <x v="13"/>
    <x v="2"/>
    <d v="2025-01-15T00:00:00"/>
    <x v="3"/>
    <x v="2"/>
    <x v="2"/>
    <x v="0"/>
    <x v="0"/>
    <x v="0"/>
    <x v="3"/>
  </r>
  <r>
    <x v="325"/>
    <x v="10"/>
    <x v="2"/>
    <n v="43"/>
    <n v="129"/>
    <x v="14"/>
    <x v="2"/>
    <d v="2025-01-15T00:00:00"/>
    <x v="7"/>
    <x v="2"/>
    <x v="2"/>
    <x v="2"/>
    <x v="1"/>
    <x v="0"/>
    <x v="3"/>
  </r>
  <r>
    <x v="326"/>
    <x v="1"/>
    <x v="9"/>
    <n v="64.400000000000006"/>
    <n v="322"/>
    <x v="14"/>
    <x v="2"/>
    <d v="2025-01-17T00:00:00"/>
    <x v="1"/>
    <x v="1"/>
    <x v="1"/>
    <x v="2"/>
    <x v="1"/>
    <x v="0"/>
    <x v="3"/>
  </r>
  <r>
    <x v="327"/>
    <x v="18"/>
    <x v="1"/>
    <n v="57.4"/>
    <n v="114.8"/>
    <x v="14"/>
    <x v="2"/>
    <d v="2025-01-16T00:00:00"/>
    <x v="3"/>
    <x v="1"/>
    <x v="1"/>
    <x v="2"/>
    <x v="1"/>
    <x v="0"/>
    <x v="3"/>
  </r>
  <r>
    <x v="328"/>
    <x v="2"/>
    <x v="2"/>
    <n v="55.1"/>
    <n v="165.3"/>
    <x v="14"/>
    <x v="2"/>
    <d v="2025-01-18T00:00:00"/>
    <x v="2"/>
    <x v="2"/>
    <x v="2"/>
    <x v="1"/>
    <x v="0"/>
    <x v="0"/>
    <x v="3"/>
  </r>
  <r>
    <x v="329"/>
    <x v="7"/>
    <x v="12"/>
    <n v="45.4"/>
    <n v="181.6"/>
    <x v="14"/>
    <x v="2"/>
    <d v="2025-01-16T00:00:00"/>
    <x v="3"/>
    <x v="2"/>
    <x v="2"/>
    <x v="1"/>
    <x v="0"/>
    <x v="0"/>
    <x v="3"/>
  </r>
  <r>
    <x v="330"/>
    <x v="3"/>
    <x v="2"/>
    <n v="93.3"/>
    <n v="279.89999999999998"/>
    <x v="14"/>
    <x v="2"/>
    <d v="2025-01-16T00:00:00"/>
    <x v="3"/>
    <x v="2"/>
    <x v="2"/>
    <x v="0"/>
    <x v="0"/>
    <x v="0"/>
    <x v="40"/>
  </r>
  <r>
    <x v="331"/>
    <x v="2"/>
    <x v="10"/>
    <n v="158.19999999999999"/>
    <n v="3005.7999999999997"/>
    <x v="14"/>
    <x v="2"/>
    <d v="2025-01-16T00:00:00"/>
    <x v="3"/>
    <x v="2"/>
    <x v="2"/>
    <x v="1"/>
    <x v="2"/>
    <x v="0"/>
    <x v="16"/>
  </r>
  <r>
    <x v="332"/>
    <x v="2"/>
    <x v="1"/>
    <n v="74.900000000000006"/>
    <n v="149.80000000000001"/>
    <x v="14"/>
    <x v="2"/>
    <d v="2025-01-17T00:00:00"/>
    <x v="1"/>
    <x v="1"/>
    <x v="1"/>
    <x v="3"/>
    <x v="0"/>
    <x v="0"/>
    <x v="6"/>
  </r>
  <r>
    <x v="333"/>
    <x v="8"/>
    <x v="3"/>
    <n v="26"/>
    <n v="182"/>
    <x v="14"/>
    <x v="2"/>
    <d v="2025-01-18T00:00:00"/>
    <x v="2"/>
    <x v="2"/>
    <x v="2"/>
    <x v="1"/>
    <x v="0"/>
    <x v="0"/>
    <x v="8"/>
  </r>
  <r>
    <x v="334"/>
    <x v="9"/>
    <x v="13"/>
    <n v="37.5"/>
    <n v="225"/>
    <x v="14"/>
    <x v="2"/>
    <d v="2025-01-16T00:00:00"/>
    <x v="3"/>
    <x v="2"/>
    <x v="2"/>
    <x v="0"/>
    <x v="1"/>
    <x v="0"/>
    <x v="8"/>
  </r>
  <r>
    <x v="335"/>
    <x v="6"/>
    <x v="1"/>
    <n v="75.8"/>
    <n v="151.6"/>
    <x v="14"/>
    <x v="2"/>
    <d v="2025-01-21T00:00:00"/>
    <x v="4"/>
    <x v="1"/>
    <x v="1"/>
    <x v="0"/>
    <x v="0"/>
    <x v="0"/>
    <x v="8"/>
  </r>
  <r>
    <x v="336"/>
    <x v="7"/>
    <x v="0"/>
    <n v="48.5"/>
    <n v="48.5"/>
    <x v="14"/>
    <x v="2"/>
    <d v="2025-01-27T00:00:00"/>
    <x v="13"/>
    <x v="0"/>
    <x v="0"/>
    <x v="4"/>
    <x v="2"/>
    <x v="0"/>
    <x v="8"/>
  </r>
  <r>
    <x v="337"/>
    <x v="6"/>
    <x v="2"/>
    <n v="98.9"/>
    <n v="296.70000000000005"/>
    <x v="14"/>
    <x v="2"/>
    <d v="2025-01-17T00:00:00"/>
    <x v="1"/>
    <x v="2"/>
    <x v="2"/>
    <x v="4"/>
    <x v="1"/>
    <x v="0"/>
    <x v="8"/>
  </r>
  <r>
    <x v="338"/>
    <x v="1"/>
    <x v="4"/>
    <n v="50.9"/>
    <n v="610.79999999999995"/>
    <x v="14"/>
    <x v="2"/>
    <d v="2025-01-15T00:00:00"/>
    <x v="7"/>
    <x v="1"/>
    <x v="1"/>
    <x v="4"/>
    <x v="0"/>
    <x v="0"/>
    <x v="8"/>
  </r>
  <r>
    <x v="339"/>
    <x v="12"/>
    <x v="13"/>
    <n v="84.7"/>
    <n v="508.20000000000005"/>
    <x v="14"/>
    <x v="2"/>
    <d v="2025-01-15T00:00:00"/>
    <x v="7"/>
    <x v="2"/>
    <x v="2"/>
    <x v="2"/>
    <x v="0"/>
    <x v="0"/>
    <x v="8"/>
  </r>
  <r>
    <x v="340"/>
    <x v="8"/>
    <x v="0"/>
    <n v="20.7"/>
    <n v="20.7"/>
    <x v="14"/>
    <x v="2"/>
    <d v="2025-01-17T00:00:00"/>
    <x v="1"/>
    <x v="2"/>
    <x v="2"/>
    <x v="3"/>
    <x v="2"/>
    <x v="0"/>
    <x v="8"/>
  </r>
  <r>
    <x v="341"/>
    <x v="12"/>
    <x v="11"/>
    <n v="57.8"/>
    <n v="520.19999999999993"/>
    <x v="14"/>
    <x v="2"/>
    <d v="2025-01-26T00:00:00"/>
    <x v="11"/>
    <x v="1"/>
    <x v="1"/>
    <x v="0"/>
    <x v="4"/>
    <x v="0"/>
    <x v="17"/>
  </r>
  <r>
    <x v="342"/>
    <x v="2"/>
    <x v="1"/>
    <n v="106.9"/>
    <n v="213.8"/>
    <x v="14"/>
    <x v="2"/>
    <d v="2025-01-17T00:00:00"/>
    <x v="1"/>
    <x v="2"/>
    <x v="2"/>
    <x v="0"/>
    <x v="2"/>
    <x v="0"/>
    <x v="41"/>
  </r>
  <r>
    <x v="343"/>
    <x v="3"/>
    <x v="9"/>
    <n v="45.2"/>
    <n v="226"/>
    <x v="14"/>
    <x v="2"/>
    <d v="2025-01-19T00:00:00"/>
    <x v="5"/>
    <x v="2"/>
    <x v="2"/>
    <x v="1"/>
    <x v="0"/>
    <x v="0"/>
    <x v="21"/>
  </r>
  <r>
    <x v="344"/>
    <x v="8"/>
    <x v="15"/>
    <n v="34.6"/>
    <n v="449.8"/>
    <x v="14"/>
    <x v="2"/>
    <d v="2025-01-15T00:00:00"/>
    <x v="7"/>
    <x v="2"/>
    <x v="2"/>
    <x v="1"/>
    <x v="1"/>
    <x v="0"/>
    <x v="21"/>
  </r>
  <r>
    <x v="345"/>
    <x v="15"/>
    <x v="0"/>
    <n v="43.8"/>
    <n v="43.8"/>
    <x v="14"/>
    <x v="2"/>
    <d v="2025-01-17T00:00:00"/>
    <x v="1"/>
    <x v="0"/>
    <x v="0"/>
    <x v="0"/>
    <x v="2"/>
    <x v="0"/>
    <x v="21"/>
  </r>
  <r>
    <x v="346"/>
    <x v="15"/>
    <x v="0"/>
    <n v="20.399999999999999"/>
    <n v="20.399999999999999"/>
    <x v="14"/>
    <x v="2"/>
    <d v="2025-01-17T00:00:00"/>
    <x v="1"/>
    <x v="1"/>
    <x v="1"/>
    <x v="4"/>
    <x v="1"/>
    <x v="0"/>
    <x v="21"/>
  </r>
  <r>
    <x v="347"/>
    <x v="1"/>
    <x v="0"/>
    <n v="36.700000000000003"/>
    <n v="36.700000000000003"/>
    <x v="14"/>
    <x v="2"/>
    <d v="2025-01-16T00:00:00"/>
    <x v="3"/>
    <x v="1"/>
    <x v="1"/>
    <x v="0"/>
    <x v="1"/>
    <x v="0"/>
    <x v="1"/>
  </r>
  <r>
    <x v="348"/>
    <x v="8"/>
    <x v="2"/>
    <n v="27.2"/>
    <n v="81.599999999999994"/>
    <x v="14"/>
    <x v="2"/>
    <d v="2025-01-19T00:00:00"/>
    <x v="5"/>
    <x v="1"/>
    <x v="1"/>
    <x v="0"/>
    <x v="2"/>
    <x v="0"/>
    <x v="1"/>
  </r>
  <r>
    <x v="349"/>
    <x v="6"/>
    <x v="0"/>
    <n v="58.2"/>
    <n v="58.2"/>
    <x v="14"/>
    <x v="2"/>
    <d v="2025-01-16T00:00:00"/>
    <x v="3"/>
    <x v="2"/>
    <x v="2"/>
    <x v="0"/>
    <x v="2"/>
    <x v="0"/>
    <x v="42"/>
  </r>
  <r>
    <x v="350"/>
    <x v="8"/>
    <x v="2"/>
    <n v="25.6"/>
    <n v="76.800000000000011"/>
    <x v="14"/>
    <x v="2"/>
    <d v="2025-01-16T00:00:00"/>
    <x v="3"/>
    <x v="1"/>
    <x v="1"/>
    <x v="4"/>
    <x v="4"/>
    <x v="0"/>
    <x v="2"/>
  </r>
  <r>
    <x v="351"/>
    <x v="10"/>
    <x v="0"/>
    <n v="21.2"/>
    <n v="21.2"/>
    <x v="14"/>
    <x v="2"/>
    <d v="2025-01-15T00:00:00"/>
    <x v="7"/>
    <x v="2"/>
    <x v="2"/>
    <x v="1"/>
    <x v="2"/>
    <x v="0"/>
    <x v="3"/>
  </r>
  <r>
    <x v="352"/>
    <x v="6"/>
    <x v="1"/>
    <n v="48.2"/>
    <n v="96.4"/>
    <x v="14"/>
    <x v="2"/>
    <d v="2025-01-23T00:00:00"/>
    <x v="9"/>
    <x v="2"/>
    <x v="2"/>
    <x v="0"/>
    <x v="2"/>
    <x v="0"/>
    <x v="3"/>
  </r>
  <r>
    <x v="353"/>
    <x v="1"/>
    <x v="12"/>
    <n v="83.4"/>
    <n v="333.6"/>
    <x v="15"/>
    <x v="2"/>
    <d v="2025-01-17T00:00:00"/>
    <x v="3"/>
    <x v="1"/>
    <x v="1"/>
    <x v="0"/>
    <x v="0"/>
    <x v="0"/>
    <x v="3"/>
  </r>
  <r>
    <x v="354"/>
    <x v="9"/>
    <x v="2"/>
    <n v="45.3"/>
    <n v="135.89999999999998"/>
    <x v="15"/>
    <x v="2"/>
    <d v="2025-01-22T00:00:00"/>
    <x v="4"/>
    <x v="1"/>
    <x v="1"/>
    <x v="2"/>
    <x v="1"/>
    <x v="0"/>
    <x v="3"/>
  </r>
  <r>
    <x v="355"/>
    <x v="17"/>
    <x v="0"/>
    <n v="42"/>
    <n v="42"/>
    <x v="15"/>
    <x v="2"/>
    <d v="2025-01-17T00:00:00"/>
    <x v="3"/>
    <x v="0"/>
    <x v="0"/>
    <x v="0"/>
    <x v="0"/>
    <x v="0"/>
    <x v="3"/>
  </r>
  <r>
    <x v="356"/>
    <x v="0"/>
    <x v="11"/>
    <n v="21.8"/>
    <n v="196.20000000000002"/>
    <x v="15"/>
    <x v="2"/>
    <d v="2025-01-18T00:00:00"/>
    <x v="1"/>
    <x v="2"/>
    <x v="2"/>
    <x v="1"/>
    <x v="0"/>
    <x v="0"/>
    <x v="3"/>
  </r>
  <r>
    <x v="357"/>
    <x v="8"/>
    <x v="16"/>
    <n v="21.4"/>
    <n v="385.2"/>
    <x v="15"/>
    <x v="2"/>
    <d v="2025-01-19T00:00:00"/>
    <x v="2"/>
    <x v="2"/>
    <x v="2"/>
    <x v="1"/>
    <x v="2"/>
    <x v="0"/>
    <x v="3"/>
  </r>
  <r>
    <x v="358"/>
    <x v="10"/>
    <x v="2"/>
    <n v="45"/>
    <n v="135"/>
    <x v="15"/>
    <x v="2"/>
    <d v="2025-01-16T00:00:00"/>
    <x v="7"/>
    <x v="2"/>
    <x v="2"/>
    <x v="1"/>
    <x v="2"/>
    <x v="0"/>
    <x v="3"/>
  </r>
  <r>
    <x v="359"/>
    <x v="14"/>
    <x v="0"/>
    <n v="39.6"/>
    <n v="39.6"/>
    <x v="15"/>
    <x v="2"/>
    <d v="2025-01-17T00:00:00"/>
    <x v="3"/>
    <x v="1"/>
    <x v="1"/>
    <x v="0"/>
    <x v="2"/>
    <x v="0"/>
    <x v="3"/>
  </r>
  <r>
    <x v="360"/>
    <x v="12"/>
    <x v="2"/>
    <n v="79.8"/>
    <n v="239.39999999999998"/>
    <x v="15"/>
    <x v="2"/>
    <d v="2025-01-22T00:00:00"/>
    <x v="4"/>
    <x v="2"/>
    <x v="2"/>
    <x v="1"/>
    <x v="4"/>
    <x v="0"/>
    <x v="3"/>
  </r>
  <r>
    <x v="361"/>
    <x v="1"/>
    <x v="12"/>
    <n v="63.6"/>
    <n v="254.4"/>
    <x v="15"/>
    <x v="2"/>
    <d v="2025-01-17T00:00:00"/>
    <x v="3"/>
    <x v="3"/>
    <x v="3"/>
    <x v="0"/>
    <x v="2"/>
    <x v="0"/>
    <x v="24"/>
  </r>
  <r>
    <x v="362"/>
    <x v="7"/>
    <x v="7"/>
    <n v="92.7"/>
    <n v="927"/>
    <x v="15"/>
    <x v="2"/>
    <d v="2025-01-20T00:00:00"/>
    <x v="5"/>
    <x v="1"/>
    <x v="1"/>
    <x v="1"/>
    <x v="2"/>
    <x v="0"/>
    <x v="6"/>
  </r>
  <r>
    <x v="363"/>
    <x v="1"/>
    <x v="12"/>
    <n v="48.4"/>
    <n v="193.6"/>
    <x v="15"/>
    <x v="2"/>
    <d v="2025-01-18T00:00:00"/>
    <x v="1"/>
    <x v="2"/>
    <x v="2"/>
    <x v="1"/>
    <x v="2"/>
    <x v="0"/>
    <x v="6"/>
  </r>
  <r>
    <x v="364"/>
    <x v="9"/>
    <x v="8"/>
    <n v="36"/>
    <n v="288"/>
    <x v="15"/>
    <x v="2"/>
    <d v="2025-01-19T00:00:00"/>
    <x v="2"/>
    <x v="1"/>
    <x v="1"/>
    <x v="2"/>
    <x v="2"/>
    <x v="0"/>
    <x v="8"/>
  </r>
  <r>
    <x v="365"/>
    <x v="8"/>
    <x v="4"/>
    <n v="27"/>
    <n v="324"/>
    <x v="15"/>
    <x v="2"/>
    <d v="2025-01-18T00:00:00"/>
    <x v="1"/>
    <x v="2"/>
    <x v="2"/>
    <x v="2"/>
    <x v="1"/>
    <x v="0"/>
    <x v="8"/>
  </r>
  <r>
    <x v="366"/>
    <x v="2"/>
    <x v="8"/>
    <n v="53.9"/>
    <n v="431.2"/>
    <x v="15"/>
    <x v="2"/>
    <d v="2025-01-17T00:00:00"/>
    <x v="3"/>
    <x v="0"/>
    <x v="0"/>
    <x v="0"/>
    <x v="0"/>
    <x v="0"/>
    <x v="8"/>
  </r>
  <r>
    <x v="367"/>
    <x v="3"/>
    <x v="11"/>
    <n v="48.4"/>
    <n v="435.59999999999997"/>
    <x v="15"/>
    <x v="2"/>
    <d v="2025-01-17T00:00:00"/>
    <x v="3"/>
    <x v="2"/>
    <x v="2"/>
    <x v="1"/>
    <x v="0"/>
    <x v="0"/>
    <x v="9"/>
  </r>
  <r>
    <x v="368"/>
    <x v="17"/>
    <x v="1"/>
    <n v="49.9"/>
    <n v="99.8"/>
    <x v="15"/>
    <x v="2"/>
    <d v="2025-01-21T00:00:00"/>
    <x v="0"/>
    <x v="1"/>
    <x v="1"/>
    <x v="4"/>
    <x v="4"/>
    <x v="0"/>
    <x v="10"/>
  </r>
  <r>
    <x v="369"/>
    <x v="1"/>
    <x v="2"/>
    <n v="51.7"/>
    <n v="155.10000000000002"/>
    <x v="15"/>
    <x v="2"/>
    <d v="2025-01-17T00:00:00"/>
    <x v="3"/>
    <x v="2"/>
    <x v="2"/>
    <x v="0"/>
    <x v="2"/>
    <x v="0"/>
    <x v="11"/>
  </r>
  <r>
    <x v="370"/>
    <x v="8"/>
    <x v="2"/>
    <n v="41.8"/>
    <n v="125.39999999999999"/>
    <x v="15"/>
    <x v="2"/>
    <d v="2025-01-18T00:00:00"/>
    <x v="1"/>
    <x v="2"/>
    <x v="2"/>
    <x v="2"/>
    <x v="0"/>
    <x v="0"/>
    <x v="18"/>
  </r>
  <r>
    <x v="371"/>
    <x v="4"/>
    <x v="12"/>
    <n v="36.200000000000003"/>
    <n v="144.80000000000001"/>
    <x v="16"/>
    <x v="2"/>
    <d v="2025-01-18T00:00:00"/>
    <x v="3"/>
    <x v="1"/>
    <x v="1"/>
    <x v="2"/>
    <x v="2"/>
    <x v="0"/>
    <x v="21"/>
  </r>
  <r>
    <x v="372"/>
    <x v="2"/>
    <x v="0"/>
    <n v="150.9"/>
    <n v="150.9"/>
    <x v="16"/>
    <x v="2"/>
    <d v="2025-01-27T00:00:00"/>
    <x v="14"/>
    <x v="1"/>
    <x v="1"/>
    <x v="0"/>
    <x v="0"/>
    <x v="0"/>
    <x v="1"/>
  </r>
  <r>
    <x v="373"/>
    <x v="18"/>
    <x v="12"/>
    <n v="77.599999999999994"/>
    <n v="310.39999999999998"/>
    <x v="16"/>
    <x v="2"/>
    <d v="2025-01-18T00:00:00"/>
    <x v="3"/>
    <x v="0"/>
    <x v="0"/>
    <x v="2"/>
    <x v="0"/>
    <x v="0"/>
    <x v="3"/>
  </r>
  <r>
    <x v="374"/>
    <x v="13"/>
    <x v="9"/>
    <n v="65.5"/>
    <n v="327.5"/>
    <x v="16"/>
    <x v="2"/>
    <d v="2025-01-17T00:00:00"/>
    <x v="7"/>
    <x v="1"/>
    <x v="1"/>
    <x v="1"/>
    <x v="0"/>
    <x v="0"/>
    <x v="3"/>
  </r>
  <r>
    <x v="375"/>
    <x v="6"/>
    <x v="2"/>
    <n v="90.1"/>
    <n v="270.29999999999995"/>
    <x v="16"/>
    <x v="2"/>
    <d v="2025-01-19T00:00:00"/>
    <x v="1"/>
    <x v="2"/>
    <x v="2"/>
    <x v="0"/>
    <x v="0"/>
    <x v="0"/>
    <x v="3"/>
  </r>
  <r>
    <x v="376"/>
    <x v="1"/>
    <x v="1"/>
    <n v="108.3"/>
    <n v="216.6"/>
    <x v="16"/>
    <x v="2"/>
    <d v="2025-01-20T00:00:00"/>
    <x v="2"/>
    <x v="3"/>
    <x v="3"/>
    <x v="4"/>
    <x v="0"/>
    <x v="0"/>
    <x v="3"/>
  </r>
  <r>
    <x v="377"/>
    <x v="5"/>
    <x v="2"/>
    <n v="59.9"/>
    <n v="179.7"/>
    <x v="16"/>
    <x v="2"/>
    <d v="2025-01-21T00:00:00"/>
    <x v="5"/>
    <x v="2"/>
    <x v="2"/>
    <x v="0"/>
    <x v="0"/>
    <x v="0"/>
    <x v="3"/>
  </r>
  <r>
    <x v="378"/>
    <x v="2"/>
    <x v="14"/>
    <n v="139"/>
    <n v="2363"/>
    <x v="16"/>
    <x v="2"/>
    <d v="2025-01-19T00:00:00"/>
    <x v="1"/>
    <x v="2"/>
    <x v="2"/>
    <x v="1"/>
    <x v="4"/>
    <x v="0"/>
    <x v="3"/>
  </r>
  <r>
    <x v="379"/>
    <x v="6"/>
    <x v="2"/>
    <n v="87.3"/>
    <n v="261.89999999999998"/>
    <x v="16"/>
    <x v="2"/>
    <d v="2025-01-18T00:00:00"/>
    <x v="3"/>
    <x v="2"/>
    <x v="2"/>
    <x v="0"/>
    <x v="0"/>
    <x v="0"/>
    <x v="3"/>
  </r>
  <r>
    <x v="380"/>
    <x v="11"/>
    <x v="12"/>
    <n v="42.3"/>
    <n v="169.2"/>
    <x v="16"/>
    <x v="2"/>
    <d v="2025-01-17T00:00:00"/>
    <x v="7"/>
    <x v="1"/>
    <x v="1"/>
    <x v="0"/>
    <x v="0"/>
    <x v="0"/>
    <x v="3"/>
  </r>
  <r>
    <x v="381"/>
    <x v="14"/>
    <x v="8"/>
    <n v="103.6"/>
    <n v="828.8"/>
    <x v="16"/>
    <x v="2"/>
    <d v="2025-01-18T00:00:00"/>
    <x v="3"/>
    <x v="3"/>
    <x v="3"/>
    <x v="0"/>
    <x v="1"/>
    <x v="0"/>
    <x v="3"/>
  </r>
  <r>
    <x v="382"/>
    <x v="6"/>
    <x v="1"/>
    <n v="90.9"/>
    <n v="181.8"/>
    <x v="16"/>
    <x v="2"/>
    <d v="2025-01-18T00:00:00"/>
    <x v="3"/>
    <x v="1"/>
    <x v="1"/>
    <x v="1"/>
    <x v="0"/>
    <x v="0"/>
    <x v="6"/>
  </r>
  <r>
    <x v="383"/>
    <x v="9"/>
    <x v="27"/>
    <n v="100.9"/>
    <n v="1614.4"/>
    <x v="16"/>
    <x v="2"/>
    <d v="2025-01-18T00:00:00"/>
    <x v="3"/>
    <x v="2"/>
    <x v="2"/>
    <x v="1"/>
    <x v="0"/>
    <x v="0"/>
    <x v="6"/>
  </r>
  <r>
    <x v="384"/>
    <x v="4"/>
    <x v="9"/>
    <n v="36"/>
    <n v="180"/>
    <x v="16"/>
    <x v="2"/>
    <d v="2025-01-19T00:00:00"/>
    <x v="1"/>
    <x v="2"/>
    <x v="2"/>
    <x v="1"/>
    <x v="0"/>
    <x v="0"/>
    <x v="7"/>
  </r>
  <r>
    <x v="385"/>
    <x v="6"/>
    <x v="13"/>
    <n v="83.3"/>
    <n v="499.79999999999995"/>
    <x v="16"/>
    <x v="2"/>
    <d v="2025-01-20T00:00:00"/>
    <x v="2"/>
    <x v="0"/>
    <x v="0"/>
    <x v="2"/>
    <x v="0"/>
    <x v="0"/>
    <x v="7"/>
  </r>
  <r>
    <x v="386"/>
    <x v="2"/>
    <x v="14"/>
    <n v="60.3"/>
    <n v="1025.0999999999999"/>
    <x v="16"/>
    <x v="2"/>
    <d v="2025-01-18T00:00:00"/>
    <x v="3"/>
    <x v="1"/>
    <x v="1"/>
    <x v="2"/>
    <x v="1"/>
    <x v="0"/>
    <x v="7"/>
  </r>
  <r>
    <x v="387"/>
    <x v="2"/>
    <x v="13"/>
    <n v="120.3"/>
    <n v="721.8"/>
    <x v="16"/>
    <x v="2"/>
    <d v="2025-01-18T00:00:00"/>
    <x v="3"/>
    <x v="1"/>
    <x v="1"/>
    <x v="2"/>
    <x v="0"/>
    <x v="0"/>
    <x v="8"/>
  </r>
  <r>
    <x v="388"/>
    <x v="4"/>
    <x v="7"/>
    <n v="34"/>
    <n v="340"/>
    <x v="16"/>
    <x v="2"/>
    <d v="2025-01-21T00:00:00"/>
    <x v="5"/>
    <x v="2"/>
    <x v="2"/>
    <x v="2"/>
    <x v="0"/>
    <x v="0"/>
    <x v="8"/>
  </r>
  <r>
    <x v="389"/>
    <x v="10"/>
    <x v="9"/>
    <n v="42.6"/>
    <n v="213"/>
    <x v="16"/>
    <x v="2"/>
    <d v="2025-01-20T00:00:00"/>
    <x v="2"/>
    <x v="1"/>
    <x v="1"/>
    <x v="1"/>
    <x v="0"/>
    <x v="0"/>
    <x v="8"/>
  </r>
  <r>
    <x v="390"/>
    <x v="5"/>
    <x v="28"/>
    <n v="47.4"/>
    <n v="948"/>
    <x v="16"/>
    <x v="2"/>
    <d v="2025-01-17T00:00:00"/>
    <x v="7"/>
    <x v="2"/>
    <x v="2"/>
    <x v="2"/>
    <x v="1"/>
    <x v="0"/>
    <x v="17"/>
  </r>
  <r>
    <x v="391"/>
    <x v="2"/>
    <x v="0"/>
    <n v="74"/>
    <n v="74"/>
    <x v="17"/>
    <x v="2"/>
    <d v="2025-01-19T00:00:00"/>
    <x v="3"/>
    <x v="1"/>
    <x v="1"/>
    <x v="1"/>
    <x v="0"/>
    <x v="0"/>
    <x v="11"/>
  </r>
  <r>
    <x v="392"/>
    <x v="2"/>
    <x v="9"/>
    <n v="60.4"/>
    <n v="302"/>
    <x v="17"/>
    <x v="2"/>
    <d v="2025-01-21T00:00:00"/>
    <x v="2"/>
    <x v="2"/>
    <x v="2"/>
    <x v="1"/>
    <x v="4"/>
    <x v="0"/>
    <x v="18"/>
  </r>
  <r>
    <x v="393"/>
    <x v="12"/>
    <x v="1"/>
    <n v="69.3"/>
    <n v="138.6"/>
    <x v="17"/>
    <x v="2"/>
    <d v="2025-01-21T00:00:00"/>
    <x v="2"/>
    <x v="1"/>
    <x v="1"/>
    <x v="1"/>
    <x v="1"/>
    <x v="0"/>
    <x v="13"/>
  </r>
  <r>
    <x v="394"/>
    <x v="5"/>
    <x v="9"/>
    <n v="81"/>
    <n v="405"/>
    <x v="17"/>
    <x v="2"/>
    <d v="2025-01-24T00:00:00"/>
    <x v="4"/>
    <x v="1"/>
    <x v="1"/>
    <x v="3"/>
    <x v="0"/>
    <x v="0"/>
    <x v="21"/>
  </r>
  <r>
    <x v="395"/>
    <x v="15"/>
    <x v="2"/>
    <n v="41.5"/>
    <n v="124.5"/>
    <x v="17"/>
    <x v="2"/>
    <d v="2025-01-20T00:00:00"/>
    <x v="1"/>
    <x v="3"/>
    <x v="3"/>
    <x v="1"/>
    <x v="0"/>
    <x v="0"/>
    <x v="21"/>
  </r>
  <r>
    <x v="396"/>
    <x v="18"/>
    <x v="1"/>
    <n v="69.7"/>
    <n v="139.4"/>
    <x v="17"/>
    <x v="2"/>
    <d v="2025-01-23T00:00:00"/>
    <x v="0"/>
    <x v="1"/>
    <x v="1"/>
    <x v="1"/>
    <x v="0"/>
    <x v="0"/>
    <x v="21"/>
  </r>
  <r>
    <x v="397"/>
    <x v="2"/>
    <x v="9"/>
    <n v="83.6"/>
    <n v="418"/>
    <x v="17"/>
    <x v="2"/>
    <d v="2025-01-18T00:00:00"/>
    <x v="7"/>
    <x v="2"/>
    <x v="2"/>
    <x v="4"/>
    <x v="0"/>
    <x v="0"/>
    <x v="1"/>
  </r>
  <r>
    <x v="398"/>
    <x v="8"/>
    <x v="3"/>
    <n v="21.5"/>
    <n v="150.5"/>
    <x v="17"/>
    <x v="2"/>
    <d v="2025-01-20T00:00:00"/>
    <x v="1"/>
    <x v="1"/>
    <x v="1"/>
    <x v="1"/>
    <x v="4"/>
    <x v="0"/>
    <x v="34"/>
  </r>
  <r>
    <x v="399"/>
    <x v="8"/>
    <x v="8"/>
    <n v="28.6"/>
    <n v="228.8"/>
    <x v="17"/>
    <x v="2"/>
    <d v="2025-01-19T00:00:00"/>
    <x v="3"/>
    <x v="1"/>
    <x v="1"/>
    <x v="0"/>
    <x v="0"/>
    <x v="0"/>
    <x v="3"/>
  </r>
  <r>
    <x v="400"/>
    <x v="8"/>
    <x v="13"/>
    <n v="18.8"/>
    <n v="112.80000000000001"/>
    <x v="17"/>
    <x v="2"/>
    <d v="2025-01-21T00:00:00"/>
    <x v="2"/>
    <x v="1"/>
    <x v="1"/>
    <x v="3"/>
    <x v="2"/>
    <x v="0"/>
    <x v="3"/>
  </r>
  <r>
    <x v="401"/>
    <x v="10"/>
    <x v="12"/>
    <n v="35.1"/>
    <n v="140.4"/>
    <x v="17"/>
    <x v="2"/>
    <d v="2025-01-18T00:00:00"/>
    <x v="7"/>
    <x v="2"/>
    <x v="2"/>
    <x v="1"/>
    <x v="1"/>
    <x v="0"/>
    <x v="3"/>
  </r>
  <r>
    <x v="402"/>
    <x v="0"/>
    <x v="1"/>
    <n v="12.7"/>
    <n v="25.4"/>
    <x v="17"/>
    <x v="2"/>
    <d v="2025-01-20T00:00:00"/>
    <x v="1"/>
    <x v="2"/>
    <x v="2"/>
    <x v="1"/>
    <x v="2"/>
    <x v="0"/>
    <x v="3"/>
  </r>
  <r>
    <x v="403"/>
    <x v="8"/>
    <x v="9"/>
    <n v="27.4"/>
    <n v="137"/>
    <x v="17"/>
    <x v="2"/>
    <d v="2025-01-20T00:00:00"/>
    <x v="1"/>
    <x v="3"/>
    <x v="3"/>
    <x v="0"/>
    <x v="0"/>
    <x v="0"/>
    <x v="3"/>
  </r>
  <r>
    <x v="404"/>
    <x v="10"/>
    <x v="1"/>
    <n v="61.3"/>
    <n v="122.6"/>
    <x v="17"/>
    <x v="2"/>
    <d v="2025-01-19T00:00:00"/>
    <x v="3"/>
    <x v="2"/>
    <x v="2"/>
    <x v="1"/>
    <x v="0"/>
    <x v="0"/>
    <x v="6"/>
  </r>
  <r>
    <x v="405"/>
    <x v="8"/>
    <x v="1"/>
    <n v="64.7"/>
    <n v="129.4"/>
    <x v="17"/>
    <x v="2"/>
    <d v="2025-01-20T00:00:00"/>
    <x v="1"/>
    <x v="2"/>
    <x v="2"/>
    <x v="3"/>
    <x v="2"/>
    <x v="0"/>
    <x v="6"/>
  </r>
  <r>
    <x v="406"/>
    <x v="7"/>
    <x v="12"/>
    <n v="91.4"/>
    <n v="365.6"/>
    <x v="17"/>
    <x v="2"/>
    <d v="2025-01-20T00:00:00"/>
    <x v="1"/>
    <x v="2"/>
    <x v="2"/>
    <x v="0"/>
    <x v="0"/>
    <x v="0"/>
    <x v="8"/>
  </r>
  <r>
    <x v="407"/>
    <x v="0"/>
    <x v="1"/>
    <n v="33.1"/>
    <n v="66.2"/>
    <x v="18"/>
    <x v="3"/>
    <d v="2025-01-20T00:00:00"/>
    <x v="3"/>
    <x v="1"/>
    <x v="1"/>
    <x v="0"/>
    <x v="2"/>
    <x v="0"/>
    <x v="8"/>
  </r>
  <r>
    <x v="408"/>
    <x v="3"/>
    <x v="1"/>
    <n v="105.6"/>
    <n v="211.2"/>
    <x v="18"/>
    <x v="3"/>
    <d v="2025-01-20T00:00:00"/>
    <x v="3"/>
    <x v="1"/>
    <x v="1"/>
    <x v="2"/>
    <x v="1"/>
    <x v="0"/>
    <x v="8"/>
  </r>
  <r>
    <x v="409"/>
    <x v="10"/>
    <x v="2"/>
    <n v="46.4"/>
    <n v="139.19999999999999"/>
    <x v="18"/>
    <x v="3"/>
    <d v="2025-01-20T00:00:00"/>
    <x v="3"/>
    <x v="1"/>
    <x v="1"/>
    <x v="2"/>
    <x v="0"/>
    <x v="0"/>
    <x v="9"/>
  </r>
  <r>
    <x v="410"/>
    <x v="9"/>
    <x v="21"/>
    <n v="35.299999999999997"/>
    <n v="494.19999999999993"/>
    <x v="18"/>
    <x v="3"/>
    <d v="2025-01-22T00:00:00"/>
    <x v="2"/>
    <x v="2"/>
    <x v="2"/>
    <x v="4"/>
    <x v="1"/>
    <x v="0"/>
    <x v="11"/>
  </r>
  <r>
    <x v="411"/>
    <x v="0"/>
    <x v="1"/>
    <n v="16.100000000000001"/>
    <n v="32.200000000000003"/>
    <x v="18"/>
    <x v="3"/>
    <d v="2025-01-21T00:00:00"/>
    <x v="1"/>
    <x v="1"/>
    <x v="1"/>
    <x v="3"/>
    <x v="2"/>
    <x v="0"/>
    <x v="32"/>
  </r>
  <r>
    <x v="412"/>
    <x v="4"/>
    <x v="1"/>
    <n v="27.9"/>
    <n v="55.8"/>
    <x v="18"/>
    <x v="3"/>
    <d v="2025-01-22T00:00:00"/>
    <x v="2"/>
    <x v="1"/>
    <x v="1"/>
    <x v="0"/>
    <x v="0"/>
    <x v="0"/>
    <x v="13"/>
  </r>
  <r>
    <x v="413"/>
    <x v="8"/>
    <x v="0"/>
    <n v="47.1"/>
    <n v="47.1"/>
    <x v="18"/>
    <x v="3"/>
    <d v="2025-01-27T00:00:00"/>
    <x v="9"/>
    <x v="2"/>
    <x v="2"/>
    <x v="1"/>
    <x v="0"/>
    <x v="0"/>
    <x v="2"/>
  </r>
  <r>
    <x v="414"/>
    <x v="6"/>
    <x v="1"/>
    <n v="85"/>
    <n v="170"/>
    <x v="18"/>
    <x v="3"/>
    <d v="2025-01-22T00:00:00"/>
    <x v="2"/>
    <x v="0"/>
    <x v="0"/>
    <x v="2"/>
    <x v="2"/>
    <x v="0"/>
    <x v="22"/>
  </r>
  <r>
    <x v="415"/>
    <x v="18"/>
    <x v="1"/>
    <n v="89"/>
    <n v="178"/>
    <x v="18"/>
    <x v="3"/>
    <d v="2025-01-21T00:00:00"/>
    <x v="1"/>
    <x v="2"/>
    <x v="2"/>
    <x v="0"/>
    <x v="0"/>
    <x v="0"/>
    <x v="3"/>
  </r>
  <r>
    <x v="416"/>
    <x v="16"/>
    <x v="2"/>
    <n v="36.6"/>
    <n v="109.80000000000001"/>
    <x v="18"/>
    <x v="3"/>
    <d v="2025-01-20T00:00:00"/>
    <x v="3"/>
    <x v="3"/>
    <x v="3"/>
    <x v="3"/>
    <x v="2"/>
    <x v="0"/>
    <x v="3"/>
  </r>
  <r>
    <x v="417"/>
    <x v="6"/>
    <x v="3"/>
    <n v="43.5"/>
    <n v="304.5"/>
    <x v="18"/>
    <x v="3"/>
    <d v="2025-01-20T00:00:00"/>
    <x v="3"/>
    <x v="1"/>
    <x v="1"/>
    <x v="1"/>
    <x v="2"/>
    <x v="0"/>
    <x v="3"/>
  </r>
  <r>
    <x v="418"/>
    <x v="9"/>
    <x v="10"/>
    <n v="30.5"/>
    <n v="579.5"/>
    <x v="18"/>
    <x v="3"/>
    <d v="2025-01-19T00:00:00"/>
    <x v="7"/>
    <x v="2"/>
    <x v="2"/>
    <x v="3"/>
    <x v="0"/>
    <x v="0"/>
    <x v="3"/>
  </r>
  <r>
    <x v="419"/>
    <x v="1"/>
    <x v="1"/>
    <n v="107.7"/>
    <n v="215.4"/>
    <x v="18"/>
    <x v="3"/>
    <d v="2025-01-23T00:00:00"/>
    <x v="5"/>
    <x v="1"/>
    <x v="1"/>
    <x v="3"/>
    <x v="4"/>
    <x v="0"/>
    <x v="3"/>
  </r>
  <r>
    <x v="420"/>
    <x v="17"/>
    <x v="18"/>
    <n v="57.1"/>
    <n v="1484.6000000000001"/>
    <x v="18"/>
    <x v="3"/>
    <d v="2025-01-20T00:00:00"/>
    <x v="3"/>
    <x v="1"/>
    <x v="1"/>
    <x v="1"/>
    <x v="0"/>
    <x v="0"/>
    <x v="3"/>
  </r>
  <r>
    <x v="421"/>
    <x v="2"/>
    <x v="7"/>
    <n v="111.7"/>
    <n v="1117"/>
    <x v="18"/>
    <x v="3"/>
    <d v="2025-01-20T00:00:00"/>
    <x v="3"/>
    <x v="2"/>
    <x v="2"/>
    <x v="4"/>
    <x v="2"/>
    <x v="0"/>
    <x v="3"/>
  </r>
  <r>
    <x v="422"/>
    <x v="18"/>
    <x v="3"/>
    <n v="44.3"/>
    <n v="310.09999999999997"/>
    <x v="18"/>
    <x v="3"/>
    <d v="2025-01-22T00:00:00"/>
    <x v="2"/>
    <x v="1"/>
    <x v="1"/>
    <x v="3"/>
    <x v="2"/>
    <x v="0"/>
    <x v="3"/>
  </r>
  <r>
    <x v="423"/>
    <x v="2"/>
    <x v="8"/>
    <n v="95.8"/>
    <n v="766.4"/>
    <x v="18"/>
    <x v="3"/>
    <d v="2025-01-25T00:00:00"/>
    <x v="4"/>
    <x v="3"/>
    <x v="3"/>
    <x v="0"/>
    <x v="0"/>
    <x v="0"/>
    <x v="3"/>
  </r>
  <r>
    <x v="424"/>
    <x v="10"/>
    <x v="3"/>
    <n v="22.6"/>
    <n v="158.20000000000002"/>
    <x v="18"/>
    <x v="3"/>
    <d v="2025-01-22T00:00:00"/>
    <x v="2"/>
    <x v="2"/>
    <x v="2"/>
    <x v="3"/>
    <x v="1"/>
    <x v="0"/>
    <x v="3"/>
  </r>
  <r>
    <x v="425"/>
    <x v="8"/>
    <x v="8"/>
    <n v="25.6"/>
    <n v="204.8"/>
    <x v="18"/>
    <x v="3"/>
    <d v="2025-01-21T00:00:00"/>
    <x v="1"/>
    <x v="2"/>
    <x v="2"/>
    <x v="4"/>
    <x v="0"/>
    <x v="0"/>
    <x v="3"/>
  </r>
  <r>
    <x v="426"/>
    <x v="6"/>
    <x v="27"/>
    <n v="54.3"/>
    <n v="868.8"/>
    <x v="18"/>
    <x v="3"/>
    <d v="2025-01-22T00:00:00"/>
    <x v="2"/>
    <x v="2"/>
    <x v="2"/>
    <x v="4"/>
    <x v="0"/>
    <x v="0"/>
    <x v="3"/>
  </r>
  <r>
    <x v="427"/>
    <x v="18"/>
    <x v="15"/>
    <n v="51.3"/>
    <n v="666.9"/>
    <x v="18"/>
    <x v="3"/>
    <d v="2025-01-21T00:00:00"/>
    <x v="1"/>
    <x v="1"/>
    <x v="1"/>
    <x v="0"/>
    <x v="2"/>
    <x v="0"/>
    <x v="3"/>
  </r>
  <r>
    <x v="428"/>
    <x v="0"/>
    <x v="8"/>
    <n v="25.6"/>
    <n v="204.8"/>
    <x v="18"/>
    <x v="3"/>
    <d v="2025-01-20T00:00:00"/>
    <x v="3"/>
    <x v="2"/>
    <x v="2"/>
    <x v="1"/>
    <x v="1"/>
    <x v="0"/>
    <x v="3"/>
  </r>
  <r>
    <x v="429"/>
    <x v="0"/>
    <x v="1"/>
    <n v="15.6"/>
    <n v="31.2"/>
    <x v="18"/>
    <x v="3"/>
    <d v="2025-01-20T00:00:00"/>
    <x v="3"/>
    <x v="2"/>
    <x v="2"/>
    <x v="2"/>
    <x v="2"/>
    <x v="0"/>
    <x v="3"/>
  </r>
  <r>
    <x v="430"/>
    <x v="8"/>
    <x v="2"/>
    <n v="30.3"/>
    <n v="90.9"/>
    <x v="18"/>
    <x v="3"/>
    <d v="2025-01-23T00:00:00"/>
    <x v="5"/>
    <x v="2"/>
    <x v="2"/>
    <x v="0"/>
    <x v="1"/>
    <x v="0"/>
    <x v="3"/>
  </r>
  <r>
    <x v="431"/>
    <x v="12"/>
    <x v="1"/>
    <n v="30.3"/>
    <n v="60.6"/>
    <x v="18"/>
    <x v="3"/>
    <d v="2025-01-24T00:00:00"/>
    <x v="0"/>
    <x v="2"/>
    <x v="2"/>
    <x v="0"/>
    <x v="2"/>
    <x v="0"/>
    <x v="37"/>
  </r>
  <r>
    <x v="432"/>
    <x v="10"/>
    <x v="2"/>
    <n v="53"/>
    <n v="159"/>
    <x v="18"/>
    <x v="3"/>
    <d v="2025-01-26T00:00:00"/>
    <x v="6"/>
    <x v="2"/>
    <x v="2"/>
    <x v="2"/>
    <x v="0"/>
    <x v="0"/>
    <x v="24"/>
  </r>
  <r>
    <x v="433"/>
    <x v="5"/>
    <x v="16"/>
    <n v="59.9"/>
    <n v="1078.2"/>
    <x v="18"/>
    <x v="3"/>
    <d v="2025-01-22T00:00:00"/>
    <x v="2"/>
    <x v="1"/>
    <x v="1"/>
    <x v="2"/>
    <x v="4"/>
    <x v="0"/>
    <x v="25"/>
  </r>
  <r>
    <x v="434"/>
    <x v="9"/>
    <x v="1"/>
    <n v="45.7"/>
    <n v="91.4"/>
    <x v="18"/>
    <x v="3"/>
    <d v="2025-01-20T00:00:00"/>
    <x v="3"/>
    <x v="2"/>
    <x v="2"/>
    <x v="1"/>
    <x v="2"/>
    <x v="0"/>
    <x v="6"/>
  </r>
  <r>
    <x v="435"/>
    <x v="8"/>
    <x v="12"/>
    <n v="46.1"/>
    <n v="184.4"/>
    <x v="18"/>
    <x v="3"/>
    <d v="2025-01-20T00:00:00"/>
    <x v="3"/>
    <x v="1"/>
    <x v="1"/>
    <x v="0"/>
    <x v="0"/>
    <x v="0"/>
    <x v="6"/>
  </r>
  <r>
    <x v="436"/>
    <x v="8"/>
    <x v="2"/>
    <n v="17.5"/>
    <n v="52.5"/>
    <x v="18"/>
    <x v="3"/>
    <d v="2025-01-20T00:00:00"/>
    <x v="3"/>
    <x v="2"/>
    <x v="2"/>
    <x v="0"/>
    <x v="2"/>
    <x v="0"/>
    <x v="8"/>
  </r>
  <r>
    <x v="437"/>
    <x v="10"/>
    <x v="2"/>
    <n v="36.5"/>
    <n v="109.5"/>
    <x v="18"/>
    <x v="3"/>
    <d v="2025-01-30T00:00:00"/>
    <x v="11"/>
    <x v="1"/>
    <x v="1"/>
    <x v="2"/>
    <x v="0"/>
    <x v="0"/>
    <x v="8"/>
  </r>
  <r>
    <x v="438"/>
    <x v="8"/>
    <x v="1"/>
    <n v="47.5"/>
    <n v="95"/>
    <x v="19"/>
    <x v="3"/>
    <d v="2025-01-22T00:00:00"/>
    <x v="1"/>
    <x v="2"/>
    <x v="2"/>
    <x v="1"/>
    <x v="0"/>
    <x v="0"/>
    <x v="8"/>
  </r>
  <r>
    <x v="439"/>
    <x v="6"/>
    <x v="9"/>
    <n v="45.6"/>
    <n v="228"/>
    <x v="19"/>
    <x v="3"/>
    <d v="2025-01-22T00:00:00"/>
    <x v="1"/>
    <x v="2"/>
    <x v="2"/>
    <x v="0"/>
    <x v="2"/>
    <x v="0"/>
    <x v="8"/>
  </r>
  <r>
    <x v="440"/>
    <x v="9"/>
    <x v="1"/>
    <n v="50.5"/>
    <n v="101"/>
    <x v="19"/>
    <x v="3"/>
    <d v="2025-01-22T00:00:00"/>
    <x v="1"/>
    <x v="1"/>
    <x v="1"/>
    <x v="0"/>
    <x v="1"/>
    <x v="0"/>
    <x v="17"/>
  </r>
  <r>
    <x v="441"/>
    <x v="2"/>
    <x v="7"/>
    <n v="99.8"/>
    <n v="998"/>
    <x v="19"/>
    <x v="3"/>
    <d v="2025-01-23T00:00:00"/>
    <x v="2"/>
    <x v="2"/>
    <x v="2"/>
    <x v="2"/>
    <x v="1"/>
    <x v="0"/>
    <x v="17"/>
  </r>
  <r>
    <x v="442"/>
    <x v="8"/>
    <x v="20"/>
    <n v="19.2"/>
    <n v="288"/>
    <x v="19"/>
    <x v="3"/>
    <d v="2025-01-22T00:00:00"/>
    <x v="1"/>
    <x v="3"/>
    <x v="3"/>
    <x v="4"/>
    <x v="1"/>
    <x v="0"/>
    <x v="26"/>
  </r>
  <r>
    <x v="443"/>
    <x v="17"/>
    <x v="2"/>
    <n v="22.6"/>
    <n v="67.800000000000011"/>
    <x v="19"/>
    <x v="3"/>
    <d v="2025-01-21T00:00:00"/>
    <x v="3"/>
    <x v="1"/>
    <x v="1"/>
    <x v="1"/>
    <x v="0"/>
    <x v="0"/>
    <x v="11"/>
  </r>
  <r>
    <x v="444"/>
    <x v="1"/>
    <x v="20"/>
    <n v="126.9"/>
    <n v="1903.5"/>
    <x v="19"/>
    <x v="3"/>
    <d v="2025-01-22T00:00:00"/>
    <x v="1"/>
    <x v="2"/>
    <x v="2"/>
    <x v="0"/>
    <x v="2"/>
    <x v="0"/>
    <x v="11"/>
  </r>
  <r>
    <x v="445"/>
    <x v="2"/>
    <x v="1"/>
    <n v="100.3"/>
    <n v="200.6"/>
    <x v="19"/>
    <x v="3"/>
    <d v="2025-01-21T00:00:00"/>
    <x v="3"/>
    <x v="2"/>
    <x v="2"/>
    <x v="0"/>
    <x v="1"/>
    <x v="0"/>
    <x v="11"/>
  </r>
  <r>
    <x v="446"/>
    <x v="4"/>
    <x v="16"/>
    <n v="24.6"/>
    <n v="442.8"/>
    <x v="19"/>
    <x v="3"/>
    <d v="2025-01-21T00:00:00"/>
    <x v="3"/>
    <x v="2"/>
    <x v="2"/>
    <x v="4"/>
    <x v="0"/>
    <x v="0"/>
    <x v="13"/>
  </r>
  <r>
    <x v="447"/>
    <x v="6"/>
    <x v="1"/>
    <n v="47.3"/>
    <n v="94.6"/>
    <x v="19"/>
    <x v="3"/>
    <d v="2025-01-21T00:00:00"/>
    <x v="3"/>
    <x v="1"/>
    <x v="1"/>
    <x v="1"/>
    <x v="2"/>
    <x v="0"/>
    <x v="13"/>
  </r>
  <r>
    <x v="448"/>
    <x v="6"/>
    <x v="3"/>
    <n v="40.799999999999997"/>
    <n v="285.59999999999997"/>
    <x v="19"/>
    <x v="3"/>
    <d v="2025-01-23T00:00:00"/>
    <x v="2"/>
    <x v="2"/>
    <x v="2"/>
    <x v="2"/>
    <x v="2"/>
    <x v="0"/>
    <x v="21"/>
  </r>
  <r>
    <x v="449"/>
    <x v="8"/>
    <x v="8"/>
    <n v="49.2"/>
    <n v="393.6"/>
    <x v="19"/>
    <x v="3"/>
    <d v="2025-01-22T00:00:00"/>
    <x v="1"/>
    <x v="2"/>
    <x v="2"/>
    <x v="0"/>
    <x v="0"/>
    <x v="0"/>
    <x v="1"/>
  </r>
  <r>
    <x v="450"/>
    <x v="8"/>
    <x v="0"/>
    <n v="28.5"/>
    <n v="28.5"/>
    <x v="19"/>
    <x v="3"/>
    <d v="2025-01-22T00:00:00"/>
    <x v="1"/>
    <x v="0"/>
    <x v="0"/>
    <x v="2"/>
    <x v="1"/>
    <x v="0"/>
    <x v="3"/>
  </r>
  <r>
    <x v="451"/>
    <x v="18"/>
    <x v="1"/>
    <n v="36.799999999999997"/>
    <n v="73.599999999999994"/>
    <x v="19"/>
    <x v="3"/>
    <d v="2025-01-26T00:00:00"/>
    <x v="4"/>
    <x v="2"/>
    <x v="2"/>
    <x v="0"/>
    <x v="2"/>
    <x v="0"/>
    <x v="3"/>
  </r>
  <r>
    <x v="452"/>
    <x v="7"/>
    <x v="2"/>
    <n v="33.5"/>
    <n v="100.5"/>
    <x v="19"/>
    <x v="3"/>
    <d v="2025-01-21T00:00:00"/>
    <x v="3"/>
    <x v="2"/>
    <x v="2"/>
    <x v="0"/>
    <x v="1"/>
    <x v="0"/>
    <x v="3"/>
  </r>
  <r>
    <x v="453"/>
    <x v="6"/>
    <x v="13"/>
    <n v="62.5"/>
    <n v="375"/>
    <x v="19"/>
    <x v="3"/>
    <d v="2025-01-22T00:00:00"/>
    <x v="1"/>
    <x v="2"/>
    <x v="2"/>
    <x v="0"/>
    <x v="0"/>
    <x v="0"/>
    <x v="3"/>
  </r>
  <r>
    <x v="454"/>
    <x v="8"/>
    <x v="29"/>
    <n v="47.9"/>
    <n v="1916"/>
    <x v="19"/>
    <x v="3"/>
    <d v="2025-01-21T00:00:00"/>
    <x v="3"/>
    <x v="2"/>
    <x v="2"/>
    <x v="3"/>
    <x v="0"/>
    <x v="0"/>
    <x v="3"/>
  </r>
  <r>
    <x v="455"/>
    <x v="6"/>
    <x v="13"/>
    <n v="92.9"/>
    <n v="557.40000000000009"/>
    <x v="19"/>
    <x v="3"/>
    <d v="2025-01-31T00:00:00"/>
    <x v="11"/>
    <x v="2"/>
    <x v="2"/>
    <x v="0"/>
    <x v="4"/>
    <x v="0"/>
    <x v="3"/>
  </r>
  <r>
    <x v="456"/>
    <x v="12"/>
    <x v="2"/>
    <n v="44.1"/>
    <n v="132.30000000000001"/>
    <x v="19"/>
    <x v="3"/>
    <d v="2025-01-20T00:00:00"/>
    <x v="7"/>
    <x v="2"/>
    <x v="2"/>
    <x v="1"/>
    <x v="1"/>
    <x v="0"/>
    <x v="43"/>
  </r>
  <r>
    <x v="457"/>
    <x v="0"/>
    <x v="0"/>
    <n v="11.4"/>
    <n v="11.4"/>
    <x v="20"/>
    <x v="3"/>
    <d v="2025-01-23T00:00:00"/>
    <x v="1"/>
    <x v="2"/>
    <x v="2"/>
    <x v="2"/>
    <x v="0"/>
    <x v="0"/>
    <x v="5"/>
  </r>
  <r>
    <x v="458"/>
    <x v="6"/>
    <x v="0"/>
    <n v="83.7"/>
    <n v="83.7"/>
    <x v="20"/>
    <x v="3"/>
    <d v="2025-01-23T00:00:00"/>
    <x v="1"/>
    <x v="2"/>
    <x v="2"/>
    <x v="0"/>
    <x v="2"/>
    <x v="0"/>
    <x v="6"/>
  </r>
  <r>
    <x v="459"/>
    <x v="10"/>
    <x v="1"/>
    <n v="23.2"/>
    <n v="46.4"/>
    <x v="20"/>
    <x v="3"/>
    <d v="2025-01-22T00:00:00"/>
    <x v="3"/>
    <x v="1"/>
    <x v="1"/>
    <x v="2"/>
    <x v="0"/>
    <x v="0"/>
    <x v="8"/>
  </r>
  <r>
    <x v="460"/>
    <x v="2"/>
    <x v="0"/>
    <n v="162.1"/>
    <n v="162.1"/>
    <x v="20"/>
    <x v="3"/>
    <d v="2025-01-24T00:00:00"/>
    <x v="2"/>
    <x v="2"/>
    <x v="2"/>
    <x v="0"/>
    <x v="2"/>
    <x v="0"/>
    <x v="9"/>
  </r>
  <r>
    <x v="461"/>
    <x v="6"/>
    <x v="12"/>
    <n v="49.2"/>
    <n v="196.8"/>
    <x v="20"/>
    <x v="3"/>
    <d v="2025-01-25T00:00:00"/>
    <x v="5"/>
    <x v="1"/>
    <x v="1"/>
    <x v="1"/>
    <x v="0"/>
    <x v="0"/>
    <x v="9"/>
  </r>
  <r>
    <x v="462"/>
    <x v="1"/>
    <x v="1"/>
    <n v="61"/>
    <n v="122"/>
    <x v="20"/>
    <x v="3"/>
    <d v="2025-01-22T00:00:00"/>
    <x v="3"/>
    <x v="1"/>
    <x v="1"/>
    <x v="3"/>
    <x v="0"/>
    <x v="0"/>
    <x v="10"/>
  </r>
  <r>
    <x v="463"/>
    <x v="2"/>
    <x v="7"/>
    <n v="53.1"/>
    <n v="531"/>
    <x v="20"/>
    <x v="3"/>
    <d v="2025-01-23T00:00:00"/>
    <x v="1"/>
    <x v="1"/>
    <x v="1"/>
    <x v="0"/>
    <x v="0"/>
    <x v="0"/>
    <x v="11"/>
  </r>
  <r>
    <x v="464"/>
    <x v="4"/>
    <x v="1"/>
    <n v="22.4"/>
    <n v="44.8"/>
    <x v="20"/>
    <x v="3"/>
    <d v="2025-01-23T00:00:00"/>
    <x v="1"/>
    <x v="0"/>
    <x v="0"/>
    <x v="1"/>
    <x v="2"/>
    <x v="0"/>
    <x v="13"/>
  </r>
  <r>
    <x v="465"/>
    <x v="1"/>
    <x v="9"/>
    <n v="75.3"/>
    <n v="376.5"/>
    <x v="20"/>
    <x v="3"/>
    <d v="2025-01-22T00:00:00"/>
    <x v="3"/>
    <x v="1"/>
    <x v="1"/>
    <x v="0"/>
    <x v="0"/>
    <x v="0"/>
    <x v="21"/>
  </r>
  <r>
    <x v="466"/>
    <x v="6"/>
    <x v="0"/>
    <n v="48.5"/>
    <n v="48.5"/>
    <x v="20"/>
    <x v="3"/>
    <d v="2025-01-22T00:00:00"/>
    <x v="3"/>
    <x v="2"/>
    <x v="2"/>
    <x v="0"/>
    <x v="1"/>
    <x v="0"/>
    <x v="21"/>
  </r>
  <r>
    <x v="467"/>
    <x v="6"/>
    <x v="0"/>
    <n v="42.6"/>
    <n v="42.6"/>
    <x v="20"/>
    <x v="3"/>
    <d v="2025-01-25T00:00:00"/>
    <x v="5"/>
    <x v="2"/>
    <x v="2"/>
    <x v="3"/>
    <x v="0"/>
    <x v="0"/>
    <x v="1"/>
  </r>
  <r>
    <x v="468"/>
    <x v="5"/>
    <x v="9"/>
    <n v="49"/>
    <n v="245"/>
    <x v="20"/>
    <x v="3"/>
    <d v="2025-01-22T00:00:00"/>
    <x v="3"/>
    <x v="1"/>
    <x v="1"/>
    <x v="0"/>
    <x v="0"/>
    <x v="0"/>
    <x v="22"/>
  </r>
  <r>
    <x v="469"/>
    <x v="8"/>
    <x v="2"/>
    <n v="31.3"/>
    <n v="93.9"/>
    <x v="20"/>
    <x v="3"/>
    <d v="2025-01-22T00:00:00"/>
    <x v="3"/>
    <x v="1"/>
    <x v="1"/>
    <x v="2"/>
    <x v="1"/>
    <x v="0"/>
    <x v="3"/>
  </r>
  <r>
    <x v="470"/>
    <x v="2"/>
    <x v="1"/>
    <n v="85.4"/>
    <n v="170.8"/>
    <x v="20"/>
    <x v="3"/>
    <d v="2025-01-22T00:00:00"/>
    <x v="3"/>
    <x v="2"/>
    <x v="2"/>
    <x v="2"/>
    <x v="0"/>
    <x v="0"/>
    <x v="3"/>
  </r>
  <r>
    <x v="471"/>
    <x v="8"/>
    <x v="12"/>
    <n v="40"/>
    <n v="160"/>
    <x v="20"/>
    <x v="3"/>
    <d v="2025-01-22T00:00:00"/>
    <x v="3"/>
    <x v="3"/>
    <x v="3"/>
    <x v="0"/>
    <x v="2"/>
    <x v="0"/>
    <x v="3"/>
  </r>
  <r>
    <x v="472"/>
    <x v="5"/>
    <x v="1"/>
    <n v="38.5"/>
    <n v="77"/>
    <x v="20"/>
    <x v="3"/>
    <d v="2025-01-24T00:00:00"/>
    <x v="2"/>
    <x v="1"/>
    <x v="1"/>
    <x v="1"/>
    <x v="2"/>
    <x v="0"/>
    <x v="3"/>
  </r>
  <r>
    <x v="473"/>
    <x v="2"/>
    <x v="1"/>
    <n v="57.8"/>
    <n v="115.6"/>
    <x v="20"/>
    <x v="3"/>
    <d v="2025-01-22T00:00:00"/>
    <x v="3"/>
    <x v="0"/>
    <x v="0"/>
    <x v="0"/>
    <x v="0"/>
    <x v="0"/>
    <x v="3"/>
  </r>
  <r>
    <x v="474"/>
    <x v="8"/>
    <x v="0"/>
    <n v="19.2"/>
    <n v="19.2"/>
    <x v="20"/>
    <x v="3"/>
    <d v="2025-01-22T00:00:00"/>
    <x v="3"/>
    <x v="2"/>
    <x v="2"/>
    <x v="0"/>
    <x v="4"/>
    <x v="0"/>
    <x v="3"/>
  </r>
  <r>
    <x v="475"/>
    <x v="6"/>
    <x v="13"/>
    <n v="114.8"/>
    <n v="688.8"/>
    <x v="20"/>
    <x v="3"/>
    <d v="2025-01-24T00:00:00"/>
    <x v="2"/>
    <x v="1"/>
    <x v="1"/>
    <x v="1"/>
    <x v="1"/>
    <x v="0"/>
    <x v="3"/>
  </r>
  <r>
    <x v="476"/>
    <x v="10"/>
    <x v="3"/>
    <n v="48.4"/>
    <n v="338.8"/>
    <x v="20"/>
    <x v="3"/>
    <d v="2025-01-24T00:00:00"/>
    <x v="2"/>
    <x v="2"/>
    <x v="2"/>
    <x v="3"/>
    <x v="1"/>
    <x v="0"/>
    <x v="3"/>
  </r>
  <r>
    <x v="477"/>
    <x v="9"/>
    <x v="9"/>
    <n v="73.2"/>
    <n v="366"/>
    <x v="20"/>
    <x v="3"/>
    <d v="2025-01-22T00:00:00"/>
    <x v="3"/>
    <x v="2"/>
    <x v="2"/>
    <x v="1"/>
    <x v="4"/>
    <x v="0"/>
    <x v="3"/>
  </r>
  <r>
    <x v="478"/>
    <x v="15"/>
    <x v="1"/>
    <n v="48.6"/>
    <n v="97.2"/>
    <x v="20"/>
    <x v="3"/>
    <d v="2025-01-25T00:00:00"/>
    <x v="5"/>
    <x v="2"/>
    <x v="2"/>
    <x v="3"/>
    <x v="0"/>
    <x v="0"/>
    <x v="3"/>
  </r>
  <r>
    <x v="479"/>
    <x v="0"/>
    <x v="13"/>
    <n v="48.7"/>
    <n v="292.20000000000005"/>
    <x v="20"/>
    <x v="3"/>
    <d v="2025-01-22T00:00:00"/>
    <x v="3"/>
    <x v="1"/>
    <x v="1"/>
    <x v="0"/>
    <x v="0"/>
    <x v="0"/>
    <x v="3"/>
  </r>
  <r>
    <x v="480"/>
    <x v="4"/>
    <x v="1"/>
    <n v="32.200000000000003"/>
    <n v="64.400000000000006"/>
    <x v="20"/>
    <x v="3"/>
    <d v="2025-01-24T00:00:00"/>
    <x v="2"/>
    <x v="1"/>
    <x v="1"/>
    <x v="2"/>
    <x v="2"/>
    <x v="0"/>
    <x v="3"/>
  </r>
  <r>
    <x v="481"/>
    <x v="15"/>
    <x v="8"/>
    <n v="25.8"/>
    <n v="206.4"/>
    <x v="20"/>
    <x v="3"/>
    <d v="2025-01-22T00:00:00"/>
    <x v="3"/>
    <x v="1"/>
    <x v="1"/>
    <x v="0"/>
    <x v="0"/>
    <x v="0"/>
    <x v="37"/>
  </r>
  <r>
    <x v="482"/>
    <x v="6"/>
    <x v="1"/>
    <n v="94.8"/>
    <n v="189.6"/>
    <x v="21"/>
    <x v="3"/>
    <d v="2025-01-25T00:00:00"/>
    <x v="2"/>
    <x v="2"/>
    <x v="2"/>
    <x v="1"/>
    <x v="1"/>
    <x v="0"/>
    <x v="25"/>
  </r>
  <r>
    <x v="483"/>
    <x v="15"/>
    <x v="30"/>
    <n v="56.8"/>
    <n v="1420"/>
    <x v="21"/>
    <x v="3"/>
    <d v="2025-01-25T00:00:00"/>
    <x v="2"/>
    <x v="1"/>
    <x v="1"/>
    <x v="0"/>
    <x v="0"/>
    <x v="0"/>
    <x v="25"/>
  </r>
  <r>
    <x v="484"/>
    <x v="8"/>
    <x v="27"/>
    <n v="18.3"/>
    <n v="292.8"/>
    <x v="21"/>
    <x v="3"/>
    <d v="2025-01-29T00:00:00"/>
    <x v="6"/>
    <x v="2"/>
    <x v="2"/>
    <x v="2"/>
    <x v="2"/>
    <x v="0"/>
    <x v="23"/>
  </r>
  <r>
    <x v="485"/>
    <x v="0"/>
    <x v="2"/>
    <n v="16.8"/>
    <n v="50.400000000000006"/>
    <x v="21"/>
    <x v="3"/>
    <d v="2025-01-27T00:00:00"/>
    <x v="0"/>
    <x v="2"/>
    <x v="2"/>
    <x v="2"/>
    <x v="2"/>
    <x v="0"/>
    <x v="8"/>
  </r>
  <r>
    <x v="486"/>
    <x v="5"/>
    <x v="5"/>
    <n v="35.799999999999997"/>
    <n v="393.79999999999995"/>
    <x v="21"/>
    <x v="3"/>
    <d v="2025-01-23T00:00:00"/>
    <x v="3"/>
    <x v="1"/>
    <x v="1"/>
    <x v="1"/>
    <x v="0"/>
    <x v="0"/>
    <x v="17"/>
  </r>
  <r>
    <x v="487"/>
    <x v="18"/>
    <x v="0"/>
    <n v="64.900000000000006"/>
    <n v="64.900000000000006"/>
    <x v="21"/>
    <x v="3"/>
    <d v="2025-01-23T00:00:00"/>
    <x v="3"/>
    <x v="1"/>
    <x v="1"/>
    <x v="0"/>
    <x v="1"/>
    <x v="0"/>
    <x v="17"/>
  </r>
  <r>
    <x v="488"/>
    <x v="18"/>
    <x v="0"/>
    <n v="28.5"/>
    <n v="28.5"/>
    <x v="21"/>
    <x v="3"/>
    <d v="2025-01-24T00:00:00"/>
    <x v="1"/>
    <x v="0"/>
    <x v="0"/>
    <x v="1"/>
    <x v="0"/>
    <x v="0"/>
    <x v="9"/>
  </r>
  <r>
    <x v="489"/>
    <x v="18"/>
    <x v="1"/>
    <n v="103.5"/>
    <n v="207"/>
    <x v="21"/>
    <x v="3"/>
    <d v="2025-01-24T00:00:00"/>
    <x v="1"/>
    <x v="2"/>
    <x v="2"/>
    <x v="1"/>
    <x v="0"/>
    <x v="0"/>
    <x v="10"/>
  </r>
  <r>
    <x v="490"/>
    <x v="4"/>
    <x v="1"/>
    <n v="41.2"/>
    <n v="82.4"/>
    <x v="21"/>
    <x v="3"/>
    <d v="2025-01-23T00:00:00"/>
    <x v="3"/>
    <x v="2"/>
    <x v="2"/>
    <x v="1"/>
    <x v="0"/>
    <x v="0"/>
    <x v="10"/>
  </r>
  <r>
    <x v="491"/>
    <x v="9"/>
    <x v="0"/>
    <n v="37.799999999999997"/>
    <n v="37.799999999999997"/>
    <x v="21"/>
    <x v="3"/>
    <d v="2025-01-24T00:00:00"/>
    <x v="1"/>
    <x v="2"/>
    <x v="2"/>
    <x v="3"/>
    <x v="3"/>
    <x v="0"/>
    <x v="11"/>
  </r>
  <r>
    <x v="492"/>
    <x v="8"/>
    <x v="1"/>
    <n v="42.6"/>
    <n v="85.2"/>
    <x v="21"/>
    <x v="3"/>
    <d v="2025-01-24T00:00:00"/>
    <x v="1"/>
    <x v="2"/>
    <x v="2"/>
    <x v="4"/>
    <x v="0"/>
    <x v="0"/>
    <x v="11"/>
  </r>
  <r>
    <x v="493"/>
    <x v="8"/>
    <x v="7"/>
    <n v="15.2"/>
    <n v="152"/>
    <x v="21"/>
    <x v="3"/>
    <d v="2025-01-24T00:00:00"/>
    <x v="1"/>
    <x v="2"/>
    <x v="2"/>
    <x v="2"/>
    <x v="0"/>
    <x v="0"/>
    <x v="11"/>
  </r>
  <r>
    <x v="494"/>
    <x v="7"/>
    <x v="12"/>
    <n v="83.4"/>
    <n v="333.6"/>
    <x v="21"/>
    <x v="3"/>
    <d v="2025-01-23T00:00:00"/>
    <x v="3"/>
    <x v="2"/>
    <x v="2"/>
    <x v="2"/>
    <x v="1"/>
    <x v="0"/>
    <x v="18"/>
  </r>
  <r>
    <x v="495"/>
    <x v="19"/>
    <x v="1"/>
    <n v="27.7"/>
    <n v="55.4"/>
    <x v="21"/>
    <x v="3"/>
    <d v="2025-01-23T00:00:00"/>
    <x v="3"/>
    <x v="2"/>
    <x v="2"/>
    <x v="0"/>
    <x v="1"/>
    <x v="0"/>
    <x v="13"/>
  </r>
  <r>
    <x v="496"/>
    <x v="10"/>
    <x v="4"/>
    <n v="20.8"/>
    <n v="249.60000000000002"/>
    <x v="21"/>
    <x v="3"/>
    <d v="2025-01-23T00:00:00"/>
    <x v="3"/>
    <x v="1"/>
    <x v="1"/>
    <x v="3"/>
    <x v="0"/>
    <x v="0"/>
    <x v="13"/>
  </r>
  <r>
    <x v="497"/>
    <x v="11"/>
    <x v="1"/>
    <n v="72.7"/>
    <n v="145.4"/>
    <x v="21"/>
    <x v="3"/>
    <d v="2025-01-26T00:00:00"/>
    <x v="5"/>
    <x v="2"/>
    <x v="2"/>
    <x v="4"/>
    <x v="2"/>
    <x v="0"/>
    <x v="44"/>
  </r>
  <r>
    <x v="498"/>
    <x v="10"/>
    <x v="12"/>
    <n v="38.6"/>
    <n v="154.4"/>
    <x v="21"/>
    <x v="3"/>
    <d v="2025-01-23T00:00:00"/>
    <x v="3"/>
    <x v="1"/>
    <x v="1"/>
    <x v="0"/>
    <x v="2"/>
    <x v="0"/>
    <x v="22"/>
  </r>
  <r>
    <x v="499"/>
    <x v="8"/>
    <x v="3"/>
    <n v="33.1"/>
    <n v="231.70000000000002"/>
    <x v="21"/>
    <x v="3"/>
    <d v="2025-01-23T00:00:00"/>
    <x v="3"/>
    <x v="3"/>
    <x v="3"/>
    <x v="4"/>
    <x v="3"/>
    <x v="0"/>
    <x v="3"/>
  </r>
  <r>
    <x v="500"/>
    <x v="10"/>
    <x v="1"/>
    <n v="30.5"/>
    <n v="61"/>
    <x v="21"/>
    <x v="3"/>
    <d v="2025-01-22T00:00:00"/>
    <x v="7"/>
    <x v="0"/>
    <x v="0"/>
    <x v="1"/>
    <x v="1"/>
    <x v="0"/>
    <x v="3"/>
  </r>
  <r>
    <x v="501"/>
    <x v="9"/>
    <x v="1"/>
    <n v="69.599999999999994"/>
    <n v="139.19999999999999"/>
    <x v="21"/>
    <x v="3"/>
    <d v="2025-01-23T00:00:00"/>
    <x v="3"/>
    <x v="1"/>
    <x v="1"/>
    <x v="0"/>
    <x v="1"/>
    <x v="0"/>
    <x v="3"/>
  </r>
  <r>
    <x v="502"/>
    <x v="11"/>
    <x v="0"/>
    <n v="42.4"/>
    <n v="42.4"/>
    <x v="21"/>
    <x v="3"/>
    <d v="2025-01-26T00:00:00"/>
    <x v="5"/>
    <x v="2"/>
    <x v="2"/>
    <x v="1"/>
    <x v="0"/>
    <x v="0"/>
    <x v="3"/>
  </r>
  <r>
    <x v="503"/>
    <x v="17"/>
    <x v="0"/>
    <n v="32.200000000000003"/>
    <n v="32.200000000000003"/>
    <x v="21"/>
    <x v="3"/>
    <d v="2025-01-25T00:00:00"/>
    <x v="2"/>
    <x v="2"/>
    <x v="2"/>
    <x v="2"/>
    <x v="1"/>
    <x v="0"/>
    <x v="3"/>
  </r>
  <r>
    <x v="504"/>
    <x v="6"/>
    <x v="1"/>
    <n v="41.5"/>
    <n v="83"/>
    <x v="21"/>
    <x v="3"/>
    <d v="2025-01-25T00:00:00"/>
    <x v="2"/>
    <x v="2"/>
    <x v="2"/>
    <x v="0"/>
    <x v="2"/>
    <x v="0"/>
    <x v="3"/>
  </r>
  <r>
    <x v="505"/>
    <x v="16"/>
    <x v="11"/>
    <n v="58.9"/>
    <n v="530.1"/>
    <x v="21"/>
    <x v="3"/>
    <d v="2025-01-26T00:00:00"/>
    <x v="5"/>
    <x v="2"/>
    <x v="2"/>
    <x v="3"/>
    <x v="0"/>
    <x v="0"/>
    <x v="3"/>
  </r>
  <r>
    <x v="506"/>
    <x v="2"/>
    <x v="0"/>
    <n v="57.1"/>
    <n v="57.1"/>
    <x v="21"/>
    <x v="3"/>
    <d v="2025-01-25T00:00:00"/>
    <x v="2"/>
    <x v="2"/>
    <x v="2"/>
    <x v="1"/>
    <x v="0"/>
    <x v="0"/>
    <x v="3"/>
  </r>
  <r>
    <x v="507"/>
    <x v="6"/>
    <x v="0"/>
    <n v="57.2"/>
    <n v="57.2"/>
    <x v="21"/>
    <x v="3"/>
    <d v="2025-01-24T00:00:00"/>
    <x v="1"/>
    <x v="1"/>
    <x v="1"/>
    <x v="1"/>
    <x v="0"/>
    <x v="0"/>
    <x v="3"/>
  </r>
  <r>
    <x v="508"/>
    <x v="8"/>
    <x v="1"/>
    <n v="35.1"/>
    <n v="70.2"/>
    <x v="21"/>
    <x v="3"/>
    <d v="2025-01-23T00:00:00"/>
    <x v="3"/>
    <x v="1"/>
    <x v="1"/>
    <x v="1"/>
    <x v="0"/>
    <x v="0"/>
    <x v="6"/>
  </r>
  <r>
    <x v="509"/>
    <x v="1"/>
    <x v="0"/>
    <n v="52.1"/>
    <n v="52.1"/>
    <x v="21"/>
    <x v="3"/>
    <d v="2025-01-24T00:00:00"/>
    <x v="1"/>
    <x v="2"/>
    <x v="2"/>
    <x v="4"/>
    <x v="1"/>
    <x v="0"/>
    <x v="8"/>
  </r>
  <r>
    <x v="510"/>
    <x v="13"/>
    <x v="2"/>
    <n v="59.8"/>
    <n v="179.39999999999998"/>
    <x v="21"/>
    <x v="3"/>
    <d v="2025-01-24T00:00:00"/>
    <x v="1"/>
    <x v="2"/>
    <x v="2"/>
    <x v="4"/>
    <x v="1"/>
    <x v="0"/>
    <x v="8"/>
  </r>
  <r>
    <x v="511"/>
    <x v="3"/>
    <x v="12"/>
    <n v="83.3"/>
    <n v="333.2"/>
    <x v="21"/>
    <x v="3"/>
    <d v="2025-01-22T00:00:00"/>
    <x v="7"/>
    <x v="0"/>
    <x v="0"/>
    <x v="2"/>
    <x v="0"/>
    <x v="0"/>
    <x v="8"/>
  </r>
  <r>
    <x v="512"/>
    <x v="15"/>
    <x v="4"/>
    <n v="41.3"/>
    <n v="495.59999999999997"/>
    <x v="21"/>
    <x v="3"/>
    <d v="2025-01-23T00:00:00"/>
    <x v="3"/>
    <x v="2"/>
    <x v="2"/>
    <x v="1"/>
    <x v="0"/>
    <x v="0"/>
    <x v="8"/>
  </r>
  <r>
    <x v="513"/>
    <x v="8"/>
    <x v="9"/>
    <n v="16"/>
    <n v="80"/>
    <x v="21"/>
    <x v="3"/>
    <d v="2025-01-24T00:00:00"/>
    <x v="1"/>
    <x v="1"/>
    <x v="1"/>
    <x v="4"/>
    <x v="1"/>
    <x v="0"/>
    <x v="9"/>
  </r>
  <r>
    <x v="514"/>
    <x v="10"/>
    <x v="1"/>
    <n v="20.8"/>
    <n v="41.6"/>
    <x v="22"/>
    <x v="3"/>
    <d v="2025-01-25T00:00:00"/>
    <x v="1"/>
    <x v="1"/>
    <x v="1"/>
    <x v="0"/>
    <x v="2"/>
    <x v="0"/>
    <x v="11"/>
  </r>
  <r>
    <x v="515"/>
    <x v="8"/>
    <x v="31"/>
    <n v="27.1"/>
    <n v="758.80000000000007"/>
    <x v="22"/>
    <x v="3"/>
    <d v="2025-01-24T00:00:00"/>
    <x v="3"/>
    <x v="0"/>
    <x v="0"/>
    <x v="3"/>
    <x v="2"/>
    <x v="0"/>
    <x v="11"/>
  </r>
  <r>
    <x v="516"/>
    <x v="10"/>
    <x v="1"/>
    <n v="38.9"/>
    <n v="77.8"/>
    <x v="22"/>
    <x v="3"/>
    <d v="2025-01-25T00:00:00"/>
    <x v="1"/>
    <x v="2"/>
    <x v="2"/>
    <x v="0"/>
    <x v="0"/>
    <x v="0"/>
    <x v="18"/>
  </r>
  <r>
    <x v="517"/>
    <x v="0"/>
    <x v="1"/>
    <n v="10.8"/>
    <n v="21.6"/>
    <x v="22"/>
    <x v="3"/>
    <d v="2025-01-26T00:00:00"/>
    <x v="2"/>
    <x v="2"/>
    <x v="2"/>
    <x v="1"/>
    <x v="2"/>
    <x v="0"/>
    <x v="45"/>
  </r>
  <r>
    <x v="518"/>
    <x v="4"/>
    <x v="15"/>
    <n v="48.4"/>
    <n v="629.19999999999993"/>
    <x v="22"/>
    <x v="3"/>
    <d v="2025-01-27T00:00:00"/>
    <x v="5"/>
    <x v="2"/>
    <x v="2"/>
    <x v="0"/>
    <x v="0"/>
    <x v="0"/>
    <x v="21"/>
  </r>
  <r>
    <x v="519"/>
    <x v="4"/>
    <x v="2"/>
    <n v="29.2"/>
    <n v="87.6"/>
    <x v="22"/>
    <x v="3"/>
    <d v="2025-01-26T00:00:00"/>
    <x v="2"/>
    <x v="2"/>
    <x v="2"/>
    <x v="1"/>
    <x v="1"/>
    <x v="0"/>
    <x v="2"/>
  </r>
  <r>
    <x v="520"/>
    <x v="4"/>
    <x v="1"/>
    <n v="25.1"/>
    <n v="50.2"/>
    <x v="22"/>
    <x v="3"/>
    <d v="2025-01-24T00:00:00"/>
    <x v="3"/>
    <x v="1"/>
    <x v="1"/>
    <x v="0"/>
    <x v="1"/>
    <x v="0"/>
    <x v="2"/>
  </r>
  <r>
    <x v="521"/>
    <x v="7"/>
    <x v="2"/>
    <n v="65.599999999999994"/>
    <n v="196.79999999999998"/>
    <x v="22"/>
    <x v="3"/>
    <d v="2025-01-23T00:00:00"/>
    <x v="7"/>
    <x v="2"/>
    <x v="2"/>
    <x v="2"/>
    <x v="1"/>
    <x v="0"/>
    <x v="3"/>
  </r>
  <r>
    <x v="522"/>
    <x v="2"/>
    <x v="1"/>
    <n v="57.3"/>
    <n v="114.6"/>
    <x v="22"/>
    <x v="3"/>
    <d v="2025-01-23T00:00:00"/>
    <x v="7"/>
    <x v="0"/>
    <x v="0"/>
    <x v="0"/>
    <x v="0"/>
    <x v="0"/>
    <x v="3"/>
  </r>
  <r>
    <x v="523"/>
    <x v="9"/>
    <x v="12"/>
    <n v="22.4"/>
    <n v="89.6"/>
    <x v="22"/>
    <x v="3"/>
    <d v="2025-01-24T00:00:00"/>
    <x v="3"/>
    <x v="2"/>
    <x v="2"/>
    <x v="2"/>
    <x v="2"/>
    <x v="0"/>
    <x v="3"/>
  </r>
  <r>
    <x v="524"/>
    <x v="12"/>
    <x v="11"/>
    <n v="45.7"/>
    <n v="411.3"/>
    <x v="22"/>
    <x v="3"/>
    <d v="2025-01-24T00:00:00"/>
    <x v="3"/>
    <x v="2"/>
    <x v="2"/>
    <x v="0"/>
    <x v="0"/>
    <x v="0"/>
    <x v="3"/>
  </r>
  <r>
    <x v="525"/>
    <x v="8"/>
    <x v="1"/>
    <n v="29.3"/>
    <n v="58.6"/>
    <x v="22"/>
    <x v="3"/>
    <d v="2025-01-24T00:00:00"/>
    <x v="3"/>
    <x v="1"/>
    <x v="1"/>
    <x v="1"/>
    <x v="0"/>
    <x v="0"/>
    <x v="3"/>
  </r>
  <r>
    <x v="526"/>
    <x v="18"/>
    <x v="32"/>
    <n v="74"/>
    <n v="1628"/>
    <x v="22"/>
    <x v="3"/>
    <d v="2025-01-24T00:00:00"/>
    <x v="3"/>
    <x v="1"/>
    <x v="1"/>
    <x v="0"/>
    <x v="2"/>
    <x v="0"/>
    <x v="3"/>
  </r>
  <r>
    <x v="527"/>
    <x v="14"/>
    <x v="1"/>
    <n v="39.200000000000003"/>
    <n v="78.400000000000006"/>
    <x v="22"/>
    <x v="3"/>
    <d v="2025-01-25T00:00:00"/>
    <x v="1"/>
    <x v="2"/>
    <x v="2"/>
    <x v="1"/>
    <x v="0"/>
    <x v="0"/>
    <x v="3"/>
  </r>
  <r>
    <x v="528"/>
    <x v="4"/>
    <x v="14"/>
    <n v="62.7"/>
    <n v="1065.9000000000001"/>
    <x v="22"/>
    <x v="3"/>
    <d v="2025-01-24T00:00:00"/>
    <x v="3"/>
    <x v="2"/>
    <x v="2"/>
    <x v="2"/>
    <x v="1"/>
    <x v="0"/>
    <x v="3"/>
  </r>
  <r>
    <x v="529"/>
    <x v="10"/>
    <x v="1"/>
    <n v="60.1"/>
    <n v="120.2"/>
    <x v="22"/>
    <x v="3"/>
    <d v="2025-01-24T00:00:00"/>
    <x v="3"/>
    <x v="2"/>
    <x v="2"/>
    <x v="3"/>
    <x v="0"/>
    <x v="0"/>
    <x v="3"/>
  </r>
  <r>
    <x v="530"/>
    <x v="0"/>
    <x v="12"/>
    <n v="11.2"/>
    <n v="44.8"/>
    <x v="22"/>
    <x v="3"/>
    <d v="2025-01-24T00:00:00"/>
    <x v="3"/>
    <x v="2"/>
    <x v="2"/>
    <x v="3"/>
    <x v="1"/>
    <x v="0"/>
    <x v="3"/>
  </r>
  <r>
    <x v="531"/>
    <x v="8"/>
    <x v="1"/>
    <n v="22.9"/>
    <n v="45.8"/>
    <x v="22"/>
    <x v="3"/>
    <d v="2025-01-24T00:00:00"/>
    <x v="3"/>
    <x v="2"/>
    <x v="2"/>
    <x v="0"/>
    <x v="0"/>
    <x v="0"/>
    <x v="6"/>
  </r>
  <r>
    <x v="532"/>
    <x v="1"/>
    <x v="1"/>
    <n v="37.6"/>
    <n v="75.2"/>
    <x v="22"/>
    <x v="3"/>
    <d v="2025-01-26T00:00:00"/>
    <x v="2"/>
    <x v="2"/>
    <x v="2"/>
    <x v="0"/>
    <x v="0"/>
    <x v="0"/>
    <x v="6"/>
  </r>
  <r>
    <x v="533"/>
    <x v="6"/>
    <x v="0"/>
    <n v="42.4"/>
    <n v="42.4"/>
    <x v="22"/>
    <x v="3"/>
    <d v="2025-01-24T00:00:00"/>
    <x v="3"/>
    <x v="2"/>
    <x v="2"/>
    <x v="3"/>
    <x v="2"/>
    <x v="0"/>
    <x v="6"/>
  </r>
  <r>
    <x v="534"/>
    <x v="8"/>
    <x v="1"/>
    <n v="19.600000000000001"/>
    <n v="39.200000000000003"/>
    <x v="22"/>
    <x v="3"/>
    <d v="2025-01-27T00:00:00"/>
    <x v="5"/>
    <x v="2"/>
    <x v="2"/>
    <x v="2"/>
    <x v="0"/>
    <x v="0"/>
    <x v="7"/>
  </r>
  <r>
    <x v="535"/>
    <x v="9"/>
    <x v="0"/>
    <n v="90.5"/>
    <n v="90.5"/>
    <x v="22"/>
    <x v="3"/>
    <d v="2025-01-26T00:00:00"/>
    <x v="2"/>
    <x v="2"/>
    <x v="2"/>
    <x v="2"/>
    <x v="0"/>
    <x v="0"/>
    <x v="7"/>
  </r>
  <r>
    <x v="536"/>
    <x v="16"/>
    <x v="5"/>
    <n v="33.9"/>
    <n v="372.9"/>
    <x v="22"/>
    <x v="3"/>
    <d v="2025-01-24T00:00:00"/>
    <x v="3"/>
    <x v="1"/>
    <x v="1"/>
    <x v="2"/>
    <x v="1"/>
    <x v="0"/>
    <x v="7"/>
  </r>
  <r>
    <x v="537"/>
    <x v="0"/>
    <x v="1"/>
    <n v="32.799999999999997"/>
    <n v="65.599999999999994"/>
    <x v="22"/>
    <x v="3"/>
    <d v="2025-01-25T00:00:00"/>
    <x v="1"/>
    <x v="2"/>
    <x v="2"/>
    <x v="4"/>
    <x v="4"/>
    <x v="0"/>
    <x v="8"/>
  </r>
  <r>
    <x v="538"/>
    <x v="15"/>
    <x v="0"/>
    <n v="49.9"/>
    <n v="49.9"/>
    <x v="22"/>
    <x v="3"/>
    <d v="2025-01-24T00:00:00"/>
    <x v="3"/>
    <x v="1"/>
    <x v="1"/>
    <x v="3"/>
    <x v="1"/>
    <x v="0"/>
    <x v="8"/>
  </r>
  <r>
    <x v="539"/>
    <x v="7"/>
    <x v="9"/>
    <n v="79.2"/>
    <n v="396"/>
    <x v="22"/>
    <x v="3"/>
    <d v="2025-01-24T00:00:00"/>
    <x v="3"/>
    <x v="2"/>
    <x v="2"/>
    <x v="4"/>
    <x v="0"/>
    <x v="0"/>
    <x v="8"/>
  </r>
  <r>
    <x v="540"/>
    <x v="8"/>
    <x v="27"/>
    <n v="19.5"/>
    <n v="312"/>
    <x v="22"/>
    <x v="3"/>
    <d v="2025-01-25T00:00:00"/>
    <x v="1"/>
    <x v="1"/>
    <x v="1"/>
    <x v="3"/>
    <x v="2"/>
    <x v="0"/>
    <x v="8"/>
  </r>
  <r>
    <x v="541"/>
    <x v="8"/>
    <x v="12"/>
    <n v="18"/>
    <n v="72"/>
    <x v="22"/>
    <x v="3"/>
    <d v="2025-01-24T00:00:00"/>
    <x v="3"/>
    <x v="1"/>
    <x v="1"/>
    <x v="1"/>
    <x v="0"/>
    <x v="0"/>
    <x v="10"/>
  </r>
  <r>
    <x v="542"/>
    <x v="9"/>
    <x v="2"/>
    <n v="45.9"/>
    <n v="137.69999999999999"/>
    <x v="22"/>
    <x v="3"/>
    <d v="2025-01-25T00:00:00"/>
    <x v="1"/>
    <x v="2"/>
    <x v="2"/>
    <x v="1"/>
    <x v="1"/>
    <x v="0"/>
    <x v="10"/>
  </r>
  <r>
    <x v="543"/>
    <x v="11"/>
    <x v="0"/>
    <n v="41.2"/>
    <n v="41.2"/>
    <x v="22"/>
    <x v="3"/>
    <d v="2025-01-25T00:00:00"/>
    <x v="1"/>
    <x v="2"/>
    <x v="2"/>
    <x v="1"/>
    <x v="2"/>
    <x v="0"/>
    <x v="11"/>
  </r>
  <r>
    <x v="544"/>
    <x v="2"/>
    <x v="7"/>
    <n v="167.2"/>
    <n v="1672"/>
    <x v="22"/>
    <x v="3"/>
    <d v="2025-01-25T00:00:00"/>
    <x v="1"/>
    <x v="2"/>
    <x v="2"/>
    <x v="2"/>
    <x v="2"/>
    <x v="0"/>
    <x v="32"/>
  </r>
  <r>
    <x v="545"/>
    <x v="6"/>
    <x v="17"/>
    <n v="74.5"/>
    <n v="2235"/>
    <x v="23"/>
    <x v="3"/>
    <d v="2025-01-27T00:00:00"/>
    <x v="2"/>
    <x v="2"/>
    <x v="2"/>
    <x v="1"/>
    <x v="2"/>
    <x v="0"/>
    <x v="38"/>
  </r>
  <r>
    <x v="546"/>
    <x v="7"/>
    <x v="12"/>
    <n v="39.299999999999997"/>
    <n v="157.19999999999999"/>
    <x v="23"/>
    <x v="3"/>
    <d v="2025-01-25T00:00:00"/>
    <x v="3"/>
    <x v="0"/>
    <x v="0"/>
    <x v="2"/>
    <x v="0"/>
    <x v="0"/>
    <x v="19"/>
  </r>
  <r>
    <x v="547"/>
    <x v="9"/>
    <x v="0"/>
    <n v="68.5"/>
    <n v="68.5"/>
    <x v="23"/>
    <x v="3"/>
    <d v="2025-01-27T00:00:00"/>
    <x v="2"/>
    <x v="1"/>
    <x v="1"/>
    <x v="1"/>
    <x v="2"/>
    <x v="0"/>
    <x v="12"/>
  </r>
  <r>
    <x v="548"/>
    <x v="0"/>
    <x v="2"/>
    <n v="22.5"/>
    <n v="67.5"/>
    <x v="23"/>
    <x v="3"/>
    <d v="2025-01-24T00:00:00"/>
    <x v="7"/>
    <x v="2"/>
    <x v="2"/>
    <x v="4"/>
    <x v="0"/>
    <x v="0"/>
    <x v="13"/>
  </r>
  <r>
    <x v="549"/>
    <x v="1"/>
    <x v="0"/>
    <n v="48"/>
    <n v="48"/>
    <x v="23"/>
    <x v="3"/>
    <d v="2025-01-25T00:00:00"/>
    <x v="3"/>
    <x v="3"/>
    <x v="3"/>
    <x v="4"/>
    <x v="1"/>
    <x v="0"/>
    <x v="46"/>
  </r>
  <r>
    <x v="550"/>
    <x v="6"/>
    <x v="0"/>
    <n v="94"/>
    <n v="94"/>
    <x v="23"/>
    <x v="3"/>
    <d v="2025-01-25T00:00:00"/>
    <x v="3"/>
    <x v="1"/>
    <x v="1"/>
    <x v="3"/>
    <x v="1"/>
    <x v="0"/>
    <x v="1"/>
  </r>
  <r>
    <x v="551"/>
    <x v="8"/>
    <x v="2"/>
    <n v="21.9"/>
    <n v="65.699999999999989"/>
    <x v="23"/>
    <x v="3"/>
    <d v="2025-01-25T00:00:00"/>
    <x v="3"/>
    <x v="2"/>
    <x v="2"/>
    <x v="0"/>
    <x v="0"/>
    <x v="0"/>
    <x v="44"/>
  </r>
  <r>
    <x v="552"/>
    <x v="6"/>
    <x v="3"/>
    <n v="64.900000000000006"/>
    <n v="454.30000000000007"/>
    <x v="23"/>
    <x v="3"/>
    <d v="2025-01-25T00:00:00"/>
    <x v="3"/>
    <x v="2"/>
    <x v="2"/>
    <x v="0"/>
    <x v="0"/>
    <x v="0"/>
    <x v="3"/>
  </r>
  <r>
    <x v="553"/>
    <x v="12"/>
    <x v="0"/>
    <n v="52.9"/>
    <n v="52.9"/>
    <x v="23"/>
    <x v="3"/>
    <d v="2025-01-24T00:00:00"/>
    <x v="7"/>
    <x v="2"/>
    <x v="2"/>
    <x v="1"/>
    <x v="1"/>
    <x v="0"/>
    <x v="3"/>
  </r>
  <r>
    <x v="554"/>
    <x v="8"/>
    <x v="2"/>
    <n v="25.5"/>
    <n v="76.5"/>
    <x v="23"/>
    <x v="3"/>
    <d v="2025-01-25T00:00:00"/>
    <x v="3"/>
    <x v="2"/>
    <x v="2"/>
    <x v="1"/>
    <x v="2"/>
    <x v="0"/>
    <x v="3"/>
  </r>
  <r>
    <x v="555"/>
    <x v="6"/>
    <x v="2"/>
    <n v="51.9"/>
    <n v="155.69999999999999"/>
    <x v="23"/>
    <x v="3"/>
    <d v="2025-01-25T00:00:00"/>
    <x v="3"/>
    <x v="2"/>
    <x v="2"/>
    <x v="3"/>
    <x v="0"/>
    <x v="0"/>
    <x v="3"/>
  </r>
  <r>
    <x v="556"/>
    <x v="5"/>
    <x v="0"/>
    <n v="46.3"/>
    <n v="46.3"/>
    <x v="23"/>
    <x v="3"/>
    <d v="2025-01-27T00:00:00"/>
    <x v="2"/>
    <x v="2"/>
    <x v="2"/>
    <x v="4"/>
    <x v="0"/>
    <x v="0"/>
    <x v="3"/>
  </r>
  <r>
    <x v="557"/>
    <x v="6"/>
    <x v="1"/>
    <n v="68.2"/>
    <n v="136.4"/>
    <x v="23"/>
    <x v="3"/>
    <d v="2025-01-26T00:00:00"/>
    <x v="1"/>
    <x v="2"/>
    <x v="2"/>
    <x v="3"/>
    <x v="0"/>
    <x v="0"/>
    <x v="3"/>
  </r>
  <r>
    <x v="558"/>
    <x v="1"/>
    <x v="0"/>
    <n v="40.299999999999997"/>
    <n v="40.299999999999997"/>
    <x v="23"/>
    <x v="3"/>
    <d v="2025-01-25T00:00:00"/>
    <x v="3"/>
    <x v="1"/>
    <x v="1"/>
    <x v="0"/>
    <x v="1"/>
    <x v="0"/>
    <x v="3"/>
  </r>
  <r>
    <x v="559"/>
    <x v="2"/>
    <x v="2"/>
    <n v="91.3"/>
    <n v="273.89999999999998"/>
    <x v="23"/>
    <x v="3"/>
    <d v="2025-01-29T00:00:00"/>
    <x v="0"/>
    <x v="1"/>
    <x v="1"/>
    <x v="0"/>
    <x v="2"/>
    <x v="0"/>
    <x v="6"/>
  </r>
  <r>
    <x v="560"/>
    <x v="0"/>
    <x v="2"/>
    <n v="11.9"/>
    <n v="35.700000000000003"/>
    <x v="23"/>
    <x v="3"/>
    <d v="2025-01-25T00:00:00"/>
    <x v="3"/>
    <x v="2"/>
    <x v="2"/>
    <x v="0"/>
    <x v="1"/>
    <x v="0"/>
    <x v="6"/>
  </r>
  <r>
    <x v="561"/>
    <x v="2"/>
    <x v="1"/>
    <n v="63.5"/>
    <n v="127"/>
    <x v="23"/>
    <x v="3"/>
    <d v="2025-01-26T00:00:00"/>
    <x v="1"/>
    <x v="1"/>
    <x v="1"/>
    <x v="1"/>
    <x v="0"/>
    <x v="0"/>
    <x v="6"/>
  </r>
  <r>
    <x v="562"/>
    <x v="4"/>
    <x v="1"/>
    <n v="27.1"/>
    <n v="54.2"/>
    <x v="23"/>
    <x v="3"/>
    <d v="2025-01-27T00:00:00"/>
    <x v="2"/>
    <x v="1"/>
    <x v="1"/>
    <x v="2"/>
    <x v="2"/>
    <x v="0"/>
    <x v="6"/>
  </r>
  <r>
    <x v="563"/>
    <x v="1"/>
    <x v="1"/>
    <n v="82.1"/>
    <n v="164.2"/>
    <x v="24"/>
    <x v="3"/>
    <d v="2025-01-28T00:00:00"/>
    <x v="2"/>
    <x v="1"/>
    <x v="1"/>
    <x v="1"/>
    <x v="1"/>
    <x v="0"/>
    <x v="7"/>
  </r>
  <r>
    <x v="564"/>
    <x v="3"/>
    <x v="9"/>
    <n v="42.9"/>
    <n v="214.5"/>
    <x v="24"/>
    <x v="3"/>
    <d v="2025-01-27T00:00:00"/>
    <x v="1"/>
    <x v="2"/>
    <x v="2"/>
    <x v="1"/>
    <x v="0"/>
    <x v="0"/>
    <x v="8"/>
  </r>
  <r>
    <x v="565"/>
    <x v="8"/>
    <x v="5"/>
    <n v="37.9"/>
    <n v="416.9"/>
    <x v="24"/>
    <x v="3"/>
    <d v="2025-02-01T00:00:00"/>
    <x v="6"/>
    <x v="1"/>
    <x v="1"/>
    <x v="0"/>
    <x v="0"/>
    <x v="0"/>
    <x v="8"/>
  </r>
  <r>
    <x v="566"/>
    <x v="0"/>
    <x v="0"/>
    <n v="22.4"/>
    <n v="22.4"/>
    <x v="24"/>
    <x v="3"/>
    <d v="2025-01-26T00:00:00"/>
    <x v="3"/>
    <x v="2"/>
    <x v="2"/>
    <x v="0"/>
    <x v="1"/>
    <x v="0"/>
    <x v="17"/>
  </r>
  <r>
    <x v="567"/>
    <x v="2"/>
    <x v="15"/>
    <n v="79.900000000000006"/>
    <n v="1038.7"/>
    <x v="24"/>
    <x v="3"/>
    <d v="2025-02-07T00:00:00"/>
    <x v="10"/>
    <x v="2"/>
    <x v="2"/>
    <x v="3"/>
    <x v="1"/>
    <x v="0"/>
    <x v="11"/>
  </r>
  <r>
    <x v="568"/>
    <x v="1"/>
    <x v="0"/>
    <n v="70.599999999999994"/>
    <n v="70.599999999999994"/>
    <x v="24"/>
    <x v="3"/>
    <d v="2025-01-28T00:00:00"/>
    <x v="2"/>
    <x v="2"/>
    <x v="2"/>
    <x v="0"/>
    <x v="1"/>
    <x v="0"/>
    <x v="11"/>
  </r>
  <r>
    <x v="569"/>
    <x v="6"/>
    <x v="0"/>
    <n v="49.5"/>
    <n v="49.5"/>
    <x v="24"/>
    <x v="3"/>
    <d v="2025-01-27T00:00:00"/>
    <x v="1"/>
    <x v="1"/>
    <x v="1"/>
    <x v="0"/>
    <x v="0"/>
    <x v="0"/>
    <x v="13"/>
  </r>
  <r>
    <x v="570"/>
    <x v="2"/>
    <x v="1"/>
    <n v="96.6"/>
    <n v="193.2"/>
    <x v="24"/>
    <x v="3"/>
    <d v="2025-01-27T00:00:00"/>
    <x v="1"/>
    <x v="1"/>
    <x v="1"/>
    <x v="0"/>
    <x v="0"/>
    <x v="0"/>
    <x v="21"/>
  </r>
  <r>
    <x v="571"/>
    <x v="6"/>
    <x v="1"/>
    <n v="52.8"/>
    <n v="105.6"/>
    <x v="24"/>
    <x v="3"/>
    <d v="2025-01-26T00:00:00"/>
    <x v="3"/>
    <x v="2"/>
    <x v="2"/>
    <x v="1"/>
    <x v="1"/>
    <x v="0"/>
    <x v="21"/>
  </r>
  <r>
    <x v="572"/>
    <x v="2"/>
    <x v="0"/>
    <n v="101.7"/>
    <n v="101.7"/>
    <x v="24"/>
    <x v="3"/>
    <d v="2025-01-26T00:00:00"/>
    <x v="3"/>
    <x v="1"/>
    <x v="1"/>
    <x v="0"/>
    <x v="0"/>
    <x v="0"/>
    <x v="1"/>
  </r>
  <r>
    <x v="573"/>
    <x v="4"/>
    <x v="9"/>
    <n v="26.9"/>
    <n v="134.5"/>
    <x v="24"/>
    <x v="3"/>
    <d v="2025-01-30T00:00:00"/>
    <x v="0"/>
    <x v="2"/>
    <x v="2"/>
    <x v="1"/>
    <x v="1"/>
    <x v="0"/>
    <x v="22"/>
  </r>
  <r>
    <x v="574"/>
    <x v="2"/>
    <x v="12"/>
    <n v="211"/>
    <n v="844"/>
    <x v="24"/>
    <x v="3"/>
    <d v="2025-01-25T00:00:00"/>
    <x v="7"/>
    <x v="2"/>
    <x v="2"/>
    <x v="1"/>
    <x v="1"/>
    <x v="0"/>
    <x v="3"/>
  </r>
  <r>
    <x v="575"/>
    <x v="0"/>
    <x v="12"/>
    <n v="21.1"/>
    <n v="84.4"/>
    <x v="24"/>
    <x v="3"/>
    <d v="2025-01-28T00:00:00"/>
    <x v="2"/>
    <x v="1"/>
    <x v="1"/>
    <x v="4"/>
    <x v="0"/>
    <x v="0"/>
    <x v="3"/>
  </r>
  <r>
    <x v="576"/>
    <x v="10"/>
    <x v="0"/>
    <n v="26.6"/>
    <n v="26.6"/>
    <x v="24"/>
    <x v="3"/>
    <d v="2025-01-27T00:00:00"/>
    <x v="1"/>
    <x v="1"/>
    <x v="1"/>
    <x v="0"/>
    <x v="4"/>
    <x v="0"/>
    <x v="3"/>
  </r>
  <r>
    <x v="577"/>
    <x v="12"/>
    <x v="12"/>
    <n v="51.2"/>
    <n v="204.8"/>
    <x v="24"/>
    <x v="3"/>
    <d v="2025-01-26T00:00:00"/>
    <x v="3"/>
    <x v="2"/>
    <x v="2"/>
    <x v="3"/>
    <x v="0"/>
    <x v="0"/>
    <x v="47"/>
  </r>
  <r>
    <x v="578"/>
    <x v="0"/>
    <x v="9"/>
    <n v="10.6"/>
    <n v="53"/>
    <x v="24"/>
    <x v="3"/>
    <d v="2025-01-29T00:00:00"/>
    <x v="5"/>
    <x v="2"/>
    <x v="2"/>
    <x v="0"/>
    <x v="0"/>
    <x v="0"/>
    <x v="8"/>
  </r>
  <r>
    <x v="579"/>
    <x v="6"/>
    <x v="2"/>
    <n v="43.4"/>
    <n v="130.19999999999999"/>
    <x v="24"/>
    <x v="3"/>
    <d v="2025-01-28T00:00:00"/>
    <x v="2"/>
    <x v="2"/>
    <x v="2"/>
    <x v="4"/>
    <x v="0"/>
    <x v="0"/>
    <x v="8"/>
  </r>
  <r>
    <x v="580"/>
    <x v="12"/>
    <x v="0"/>
    <n v="80"/>
    <n v="80"/>
    <x v="24"/>
    <x v="3"/>
    <d v="2025-01-25T00:00:00"/>
    <x v="7"/>
    <x v="2"/>
    <x v="2"/>
    <x v="0"/>
    <x v="2"/>
    <x v="0"/>
    <x v="8"/>
  </r>
  <r>
    <x v="581"/>
    <x v="10"/>
    <x v="12"/>
    <n v="64.7"/>
    <n v="258.8"/>
    <x v="24"/>
    <x v="3"/>
    <d v="2025-01-27T00:00:00"/>
    <x v="1"/>
    <x v="2"/>
    <x v="2"/>
    <x v="1"/>
    <x v="4"/>
    <x v="0"/>
    <x v="8"/>
  </r>
  <r>
    <x v="582"/>
    <x v="8"/>
    <x v="5"/>
    <n v="26.3"/>
    <n v="289.3"/>
    <x v="25"/>
    <x v="4"/>
    <d v="2025-01-26T00:00:00"/>
    <x v="7"/>
    <x v="2"/>
    <x v="2"/>
    <x v="4"/>
    <x v="1"/>
    <x v="0"/>
    <x v="26"/>
  </r>
  <r>
    <x v="583"/>
    <x v="10"/>
    <x v="0"/>
    <n v="28.5"/>
    <n v="28.5"/>
    <x v="25"/>
    <x v="4"/>
    <d v="2025-01-26T00:00:00"/>
    <x v="7"/>
    <x v="1"/>
    <x v="1"/>
    <x v="0"/>
    <x v="1"/>
    <x v="0"/>
    <x v="9"/>
  </r>
  <r>
    <x v="584"/>
    <x v="17"/>
    <x v="0"/>
    <n v="47.8"/>
    <n v="47.8"/>
    <x v="25"/>
    <x v="4"/>
    <d v="2025-01-28T00:00:00"/>
    <x v="1"/>
    <x v="2"/>
    <x v="2"/>
    <x v="0"/>
    <x v="1"/>
    <x v="0"/>
    <x v="9"/>
  </r>
  <r>
    <x v="585"/>
    <x v="10"/>
    <x v="2"/>
    <n v="42.8"/>
    <n v="128.39999999999998"/>
    <x v="25"/>
    <x v="4"/>
    <d v="2025-01-29T00:00:00"/>
    <x v="2"/>
    <x v="2"/>
    <x v="2"/>
    <x v="4"/>
    <x v="1"/>
    <x v="0"/>
    <x v="11"/>
  </r>
  <r>
    <x v="586"/>
    <x v="6"/>
    <x v="9"/>
    <n v="46.8"/>
    <n v="234"/>
    <x v="25"/>
    <x v="4"/>
    <d v="2025-01-31T00:00:00"/>
    <x v="0"/>
    <x v="2"/>
    <x v="2"/>
    <x v="1"/>
    <x v="2"/>
    <x v="0"/>
    <x v="11"/>
  </r>
  <r>
    <x v="587"/>
    <x v="1"/>
    <x v="7"/>
    <n v="64.099999999999994"/>
    <n v="641"/>
    <x v="25"/>
    <x v="4"/>
    <d v="2025-01-27T00:00:00"/>
    <x v="3"/>
    <x v="1"/>
    <x v="1"/>
    <x v="1"/>
    <x v="0"/>
    <x v="0"/>
    <x v="11"/>
  </r>
  <r>
    <x v="588"/>
    <x v="2"/>
    <x v="0"/>
    <n v="89.1"/>
    <n v="89.1"/>
    <x v="25"/>
    <x v="4"/>
    <d v="2025-01-27T00:00:00"/>
    <x v="3"/>
    <x v="2"/>
    <x v="2"/>
    <x v="0"/>
    <x v="1"/>
    <x v="0"/>
    <x v="20"/>
  </r>
  <r>
    <x v="589"/>
    <x v="2"/>
    <x v="2"/>
    <n v="83.1"/>
    <n v="249.29999999999998"/>
    <x v="25"/>
    <x v="4"/>
    <d v="2025-01-27T00:00:00"/>
    <x v="3"/>
    <x v="2"/>
    <x v="2"/>
    <x v="2"/>
    <x v="1"/>
    <x v="0"/>
    <x v="13"/>
  </r>
  <r>
    <x v="590"/>
    <x v="8"/>
    <x v="2"/>
    <n v="40.9"/>
    <n v="122.69999999999999"/>
    <x v="25"/>
    <x v="4"/>
    <d v="2025-01-27T00:00:00"/>
    <x v="3"/>
    <x v="1"/>
    <x v="1"/>
    <x v="0"/>
    <x v="0"/>
    <x v="0"/>
    <x v="1"/>
  </r>
  <r>
    <x v="591"/>
    <x v="2"/>
    <x v="1"/>
    <n v="125.7"/>
    <n v="251.4"/>
    <x v="25"/>
    <x v="4"/>
    <d v="2025-01-27T00:00:00"/>
    <x v="3"/>
    <x v="2"/>
    <x v="2"/>
    <x v="3"/>
    <x v="0"/>
    <x v="0"/>
    <x v="2"/>
  </r>
  <r>
    <x v="592"/>
    <x v="3"/>
    <x v="1"/>
    <n v="30.9"/>
    <n v="61.8"/>
    <x v="25"/>
    <x v="4"/>
    <d v="2025-01-26T00:00:00"/>
    <x v="7"/>
    <x v="2"/>
    <x v="2"/>
    <x v="2"/>
    <x v="2"/>
    <x v="0"/>
    <x v="22"/>
  </r>
  <r>
    <x v="593"/>
    <x v="8"/>
    <x v="1"/>
    <n v="18.3"/>
    <n v="36.6"/>
    <x v="25"/>
    <x v="4"/>
    <d v="2025-01-27T00:00:00"/>
    <x v="3"/>
    <x v="2"/>
    <x v="2"/>
    <x v="1"/>
    <x v="0"/>
    <x v="0"/>
    <x v="3"/>
  </r>
  <r>
    <x v="594"/>
    <x v="4"/>
    <x v="1"/>
    <n v="56.5"/>
    <n v="113"/>
    <x v="25"/>
    <x v="4"/>
    <d v="2025-01-30T00:00:00"/>
    <x v="5"/>
    <x v="1"/>
    <x v="1"/>
    <x v="2"/>
    <x v="2"/>
    <x v="0"/>
    <x v="3"/>
  </r>
  <r>
    <x v="595"/>
    <x v="10"/>
    <x v="3"/>
    <n v="29.9"/>
    <n v="209.29999999999998"/>
    <x v="25"/>
    <x v="4"/>
    <d v="2025-01-28T00:00:00"/>
    <x v="1"/>
    <x v="1"/>
    <x v="1"/>
    <x v="4"/>
    <x v="2"/>
    <x v="0"/>
    <x v="3"/>
  </r>
  <r>
    <x v="596"/>
    <x v="5"/>
    <x v="1"/>
    <n v="50.4"/>
    <n v="100.8"/>
    <x v="25"/>
    <x v="4"/>
    <d v="2025-01-27T00:00:00"/>
    <x v="3"/>
    <x v="2"/>
    <x v="2"/>
    <x v="2"/>
    <x v="0"/>
    <x v="0"/>
    <x v="3"/>
  </r>
  <r>
    <x v="597"/>
    <x v="2"/>
    <x v="0"/>
    <n v="85.8"/>
    <n v="85.8"/>
    <x v="25"/>
    <x v="4"/>
    <d v="2025-01-26T00:00:00"/>
    <x v="7"/>
    <x v="2"/>
    <x v="2"/>
    <x v="2"/>
    <x v="2"/>
    <x v="0"/>
    <x v="3"/>
  </r>
  <r>
    <x v="598"/>
    <x v="4"/>
    <x v="27"/>
    <n v="66.599999999999994"/>
    <n v="1065.5999999999999"/>
    <x v="25"/>
    <x v="4"/>
    <d v="2025-01-28T00:00:00"/>
    <x v="1"/>
    <x v="1"/>
    <x v="1"/>
    <x v="1"/>
    <x v="0"/>
    <x v="0"/>
    <x v="3"/>
  </r>
  <r>
    <x v="599"/>
    <x v="6"/>
    <x v="12"/>
    <n v="70.3"/>
    <n v="281.2"/>
    <x v="25"/>
    <x v="4"/>
    <d v="2025-01-27T00:00:00"/>
    <x v="3"/>
    <x v="2"/>
    <x v="2"/>
    <x v="0"/>
    <x v="1"/>
    <x v="0"/>
    <x v="3"/>
  </r>
  <r>
    <x v="600"/>
    <x v="8"/>
    <x v="12"/>
    <n v="31"/>
    <n v="124"/>
    <x v="25"/>
    <x v="4"/>
    <d v="2025-01-29T00:00:00"/>
    <x v="2"/>
    <x v="1"/>
    <x v="1"/>
    <x v="0"/>
    <x v="2"/>
    <x v="0"/>
    <x v="3"/>
  </r>
  <r>
    <x v="601"/>
    <x v="7"/>
    <x v="13"/>
    <n v="81.599999999999994"/>
    <n v="489.59999999999997"/>
    <x v="25"/>
    <x v="4"/>
    <d v="2025-01-27T00:00:00"/>
    <x v="3"/>
    <x v="2"/>
    <x v="2"/>
    <x v="1"/>
    <x v="1"/>
    <x v="0"/>
    <x v="37"/>
  </r>
  <r>
    <x v="602"/>
    <x v="1"/>
    <x v="30"/>
    <n v="58.3"/>
    <n v="1457.5"/>
    <x v="25"/>
    <x v="4"/>
    <d v="2025-01-27T00:00:00"/>
    <x v="3"/>
    <x v="2"/>
    <x v="2"/>
    <x v="0"/>
    <x v="0"/>
    <x v="0"/>
    <x v="16"/>
  </r>
  <r>
    <x v="603"/>
    <x v="1"/>
    <x v="12"/>
    <n v="35.1"/>
    <n v="140.4"/>
    <x v="25"/>
    <x v="4"/>
    <d v="2025-01-28T00:00:00"/>
    <x v="1"/>
    <x v="1"/>
    <x v="1"/>
    <x v="0"/>
    <x v="2"/>
    <x v="0"/>
    <x v="8"/>
  </r>
  <r>
    <x v="604"/>
    <x v="2"/>
    <x v="0"/>
    <n v="80.2"/>
    <n v="80.2"/>
    <x v="25"/>
    <x v="4"/>
    <d v="2025-01-27T00:00:00"/>
    <x v="3"/>
    <x v="1"/>
    <x v="1"/>
    <x v="3"/>
    <x v="2"/>
    <x v="0"/>
    <x v="8"/>
  </r>
  <r>
    <x v="605"/>
    <x v="14"/>
    <x v="2"/>
    <n v="39.200000000000003"/>
    <n v="117.60000000000001"/>
    <x v="25"/>
    <x v="4"/>
    <d v="2025-01-28T00:00:00"/>
    <x v="1"/>
    <x v="2"/>
    <x v="2"/>
    <x v="1"/>
    <x v="0"/>
    <x v="0"/>
    <x v="9"/>
  </r>
  <r>
    <x v="606"/>
    <x v="0"/>
    <x v="1"/>
    <n v="15.4"/>
    <n v="30.8"/>
    <x v="25"/>
    <x v="4"/>
    <d v="2025-01-26T00:00:00"/>
    <x v="7"/>
    <x v="2"/>
    <x v="2"/>
    <x v="3"/>
    <x v="0"/>
    <x v="0"/>
    <x v="48"/>
  </r>
  <r>
    <x v="607"/>
    <x v="3"/>
    <x v="2"/>
    <n v="65.400000000000006"/>
    <n v="196.20000000000002"/>
    <x v="25"/>
    <x v="4"/>
    <d v="2025-01-29T00:00:00"/>
    <x v="2"/>
    <x v="1"/>
    <x v="1"/>
    <x v="3"/>
    <x v="0"/>
    <x v="0"/>
    <x v="18"/>
  </r>
  <r>
    <x v="608"/>
    <x v="1"/>
    <x v="8"/>
    <n v="63.2"/>
    <n v="505.6"/>
    <x v="25"/>
    <x v="4"/>
    <d v="2025-01-28T00:00:00"/>
    <x v="1"/>
    <x v="2"/>
    <x v="2"/>
    <x v="1"/>
    <x v="0"/>
    <x v="0"/>
    <x v="19"/>
  </r>
  <r>
    <x v="609"/>
    <x v="1"/>
    <x v="13"/>
    <n v="35.700000000000003"/>
    <n v="214.20000000000002"/>
    <x v="25"/>
    <x v="4"/>
    <d v="2025-01-30T00:00:00"/>
    <x v="5"/>
    <x v="2"/>
    <x v="2"/>
    <x v="4"/>
    <x v="1"/>
    <x v="0"/>
    <x v="19"/>
  </r>
  <r>
    <x v="610"/>
    <x v="0"/>
    <x v="28"/>
    <n v="26.2"/>
    <n v="524"/>
    <x v="25"/>
    <x v="4"/>
    <d v="2025-01-27T00:00:00"/>
    <x v="3"/>
    <x v="2"/>
    <x v="2"/>
    <x v="3"/>
    <x v="0"/>
    <x v="0"/>
    <x v="21"/>
  </r>
  <r>
    <x v="611"/>
    <x v="7"/>
    <x v="1"/>
    <n v="31"/>
    <n v="62"/>
    <x v="25"/>
    <x v="4"/>
    <d v="2025-01-27T00:00:00"/>
    <x v="3"/>
    <x v="2"/>
    <x v="2"/>
    <x v="0"/>
    <x v="2"/>
    <x v="0"/>
    <x v="1"/>
  </r>
  <r>
    <x v="612"/>
    <x v="8"/>
    <x v="12"/>
    <n v="37.700000000000003"/>
    <n v="150.80000000000001"/>
    <x v="25"/>
    <x v="4"/>
    <d v="2025-01-27T00:00:00"/>
    <x v="3"/>
    <x v="2"/>
    <x v="2"/>
    <x v="1"/>
    <x v="0"/>
    <x v="0"/>
    <x v="22"/>
  </r>
  <r>
    <x v="613"/>
    <x v="10"/>
    <x v="33"/>
    <n v="43.6"/>
    <n v="1482.4"/>
    <x v="25"/>
    <x v="4"/>
    <d v="2025-01-28T00:00:00"/>
    <x v="1"/>
    <x v="2"/>
    <x v="2"/>
    <x v="4"/>
    <x v="1"/>
    <x v="0"/>
    <x v="3"/>
  </r>
  <r>
    <x v="614"/>
    <x v="9"/>
    <x v="12"/>
    <n v="26.5"/>
    <n v="106"/>
    <x v="25"/>
    <x v="4"/>
    <d v="2025-01-28T00:00:00"/>
    <x v="1"/>
    <x v="1"/>
    <x v="1"/>
    <x v="0"/>
    <x v="4"/>
    <x v="0"/>
    <x v="3"/>
  </r>
  <r>
    <x v="615"/>
    <x v="0"/>
    <x v="1"/>
    <n v="34.6"/>
    <n v="69.2"/>
    <x v="25"/>
    <x v="4"/>
    <d v="2025-01-27T00:00:00"/>
    <x v="3"/>
    <x v="1"/>
    <x v="1"/>
    <x v="4"/>
    <x v="1"/>
    <x v="0"/>
    <x v="3"/>
  </r>
  <r>
    <x v="616"/>
    <x v="8"/>
    <x v="1"/>
    <n v="58.2"/>
    <n v="116.4"/>
    <x v="25"/>
    <x v="4"/>
    <d v="2025-01-27T00:00:00"/>
    <x v="3"/>
    <x v="1"/>
    <x v="1"/>
    <x v="2"/>
    <x v="2"/>
    <x v="0"/>
    <x v="3"/>
  </r>
  <r>
    <x v="617"/>
    <x v="7"/>
    <x v="0"/>
    <n v="30.2"/>
    <n v="30.2"/>
    <x v="26"/>
    <x v="4"/>
    <d v="2025-01-28T00:00:00"/>
    <x v="3"/>
    <x v="2"/>
    <x v="2"/>
    <x v="2"/>
    <x v="1"/>
    <x v="0"/>
    <x v="3"/>
  </r>
  <r>
    <x v="618"/>
    <x v="1"/>
    <x v="7"/>
    <n v="53.2"/>
    <n v="532"/>
    <x v="26"/>
    <x v="4"/>
    <d v="2025-01-28T00:00:00"/>
    <x v="3"/>
    <x v="1"/>
    <x v="1"/>
    <x v="0"/>
    <x v="2"/>
    <x v="0"/>
    <x v="5"/>
  </r>
  <r>
    <x v="619"/>
    <x v="12"/>
    <x v="13"/>
    <n v="51.1"/>
    <n v="306.60000000000002"/>
    <x v="26"/>
    <x v="4"/>
    <d v="2025-01-27T00:00:00"/>
    <x v="7"/>
    <x v="1"/>
    <x v="1"/>
    <x v="1"/>
    <x v="2"/>
    <x v="0"/>
    <x v="5"/>
  </r>
  <r>
    <x v="620"/>
    <x v="1"/>
    <x v="0"/>
    <n v="105.4"/>
    <n v="105.4"/>
    <x v="26"/>
    <x v="4"/>
    <d v="2025-01-31T00:00:00"/>
    <x v="5"/>
    <x v="2"/>
    <x v="2"/>
    <x v="1"/>
    <x v="2"/>
    <x v="0"/>
    <x v="23"/>
  </r>
  <r>
    <x v="621"/>
    <x v="7"/>
    <x v="0"/>
    <n v="57.7"/>
    <n v="57.7"/>
    <x v="26"/>
    <x v="4"/>
    <d v="2025-01-27T00:00:00"/>
    <x v="7"/>
    <x v="1"/>
    <x v="1"/>
    <x v="0"/>
    <x v="4"/>
    <x v="0"/>
    <x v="8"/>
  </r>
  <r>
    <x v="622"/>
    <x v="15"/>
    <x v="1"/>
    <n v="72.400000000000006"/>
    <n v="144.80000000000001"/>
    <x v="26"/>
    <x v="4"/>
    <d v="2025-02-01T00:00:00"/>
    <x v="0"/>
    <x v="2"/>
    <x v="2"/>
    <x v="0"/>
    <x v="0"/>
    <x v="0"/>
    <x v="17"/>
  </r>
  <r>
    <x v="623"/>
    <x v="6"/>
    <x v="1"/>
    <n v="62.5"/>
    <n v="125"/>
    <x v="26"/>
    <x v="4"/>
    <d v="2025-01-28T00:00:00"/>
    <x v="3"/>
    <x v="0"/>
    <x v="0"/>
    <x v="0"/>
    <x v="2"/>
    <x v="0"/>
    <x v="11"/>
  </r>
  <r>
    <x v="624"/>
    <x v="0"/>
    <x v="32"/>
    <n v="11.6"/>
    <n v="255.2"/>
    <x v="26"/>
    <x v="4"/>
    <d v="2025-01-29T00:00:00"/>
    <x v="1"/>
    <x v="2"/>
    <x v="2"/>
    <x v="3"/>
    <x v="2"/>
    <x v="0"/>
    <x v="18"/>
  </r>
  <r>
    <x v="625"/>
    <x v="10"/>
    <x v="7"/>
    <n v="39.6"/>
    <n v="396"/>
    <x v="26"/>
    <x v="4"/>
    <d v="2025-01-29T00:00:00"/>
    <x v="1"/>
    <x v="2"/>
    <x v="2"/>
    <x v="2"/>
    <x v="2"/>
    <x v="0"/>
    <x v="18"/>
  </r>
  <r>
    <x v="626"/>
    <x v="8"/>
    <x v="1"/>
    <n v="40.1"/>
    <n v="80.2"/>
    <x v="26"/>
    <x v="4"/>
    <d v="2025-01-28T00:00:00"/>
    <x v="3"/>
    <x v="2"/>
    <x v="2"/>
    <x v="2"/>
    <x v="0"/>
    <x v="0"/>
    <x v="18"/>
  </r>
  <r>
    <x v="627"/>
    <x v="8"/>
    <x v="2"/>
    <n v="18.600000000000001"/>
    <n v="55.800000000000004"/>
    <x v="26"/>
    <x v="4"/>
    <d v="2025-01-28T00:00:00"/>
    <x v="3"/>
    <x v="2"/>
    <x v="2"/>
    <x v="2"/>
    <x v="0"/>
    <x v="0"/>
    <x v="21"/>
  </r>
  <r>
    <x v="628"/>
    <x v="4"/>
    <x v="0"/>
    <n v="58.8"/>
    <n v="58.8"/>
    <x v="26"/>
    <x v="4"/>
    <d v="2025-01-29T00:00:00"/>
    <x v="1"/>
    <x v="2"/>
    <x v="2"/>
    <x v="0"/>
    <x v="1"/>
    <x v="0"/>
    <x v="21"/>
  </r>
  <r>
    <x v="629"/>
    <x v="8"/>
    <x v="1"/>
    <n v="22.1"/>
    <n v="44.2"/>
    <x v="26"/>
    <x v="4"/>
    <d v="2025-01-30T00:00:00"/>
    <x v="2"/>
    <x v="1"/>
    <x v="1"/>
    <x v="1"/>
    <x v="2"/>
    <x v="0"/>
    <x v="21"/>
  </r>
  <r>
    <x v="630"/>
    <x v="2"/>
    <x v="0"/>
    <n v="114.9"/>
    <n v="114.9"/>
    <x v="27"/>
    <x v="4"/>
    <d v="2025-01-29T00:00:00"/>
    <x v="3"/>
    <x v="2"/>
    <x v="2"/>
    <x v="1"/>
    <x v="1"/>
    <x v="0"/>
    <x v="22"/>
  </r>
  <r>
    <x v="631"/>
    <x v="9"/>
    <x v="9"/>
    <n v="75.8"/>
    <n v="379"/>
    <x v="27"/>
    <x v="4"/>
    <d v="2025-01-29T00:00:00"/>
    <x v="3"/>
    <x v="1"/>
    <x v="1"/>
    <x v="0"/>
    <x v="2"/>
    <x v="0"/>
    <x v="3"/>
  </r>
  <r>
    <x v="632"/>
    <x v="14"/>
    <x v="9"/>
    <n v="20.6"/>
    <n v="103"/>
    <x v="27"/>
    <x v="4"/>
    <d v="2025-01-29T00:00:00"/>
    <x v="3"/>
    <x v="1"/>
    <x v="1"/>
    <x v="2"/>
    <x v="2"/>
    <x v="0"/>
    <x v="3"/>
  </r>
  <r>
    <x v="633"/>
    <x v="17"/>
    <x v="2"/>
    <n v="67.900000000000006"/>
    <n v="203.70000000000002"/>
    <x v="27"/>
    <x v="4"/>
    <d v="2025-01-29T00:00:00"/>
    <x v="3"/>
    <x v="2"/>
    <x v="2"/>
    <x v="1"/>
    <x v="1"/>
    <x v="0"/>
    <x v="3"/>
  </r>
  <r>
    <x v="634"/>
    <x v="0"/>
    <x v="9"/>
    <n v="27"/>
    <n v="135"/>
    <x v="27"/>
    <x v="4"/>
    <d v="2025-02-04T00:00:00"/>
    <x v="6"/>
    <x v="2"/>
    <x v="2"/>
    <x v="0"/>
    <x v="2"/>
    <x v="0"/>
    <x v="3"/>
  </r>
  <r>
    <x v="635"/>
    <x v="13"/>
    <x v="0"/>
    <n v="50.6"/>
    <n v="50.6"/>
    <x v="27"/>
    <x v="4"/>
    <d v="2025-01-28T00:00:00"/>
    <x v="7"/>
    <x v="1"/>
    <x v="1"/>
    <x v="0"/>
    <x v="1"/>
    <x v="0"/>
    <x v="3"/>
  </r>
  <r>
    <x v="636"/>
    <x v="4"/>
    <x v="9"/>
    <n v="22.1"/>
    <n v="110.5"/>
    <x v="27"/>
    <x v="4"/>
    <d v="2025-02-02T00:00:00"/>
    <x v="0"/>
    <x v="1"/>
    <x v="1"/>
    <x v="0"/>
    <x v="0"/>
    <x v="0"/>
    <x v="3"/>
  </r>
  <r>
    <x v="637"/>
    <x v="8"/>
    <x v="2"/>
    <n v="42.9"/>
    <n v="128.69999999999999"/>
    <x v="27"/>
    <x v="4"/>
    <d v="2025-01-30T00:00:00"/>
    <x v="1"/>
    <x v="2"/>
    <x v="2"/>
    <x v="0"/>
    <x v="0"/>
    <x v="0"/>
    <x v="3"/>
  </r>
  <r>
    <x v="638"/>
    <x v="1"/>
    <x v="5"/>
    <n v="62.4"/>
    <n v="686.4"/>
    <x v="27"/>
    <x v="4"/>
    <d v="2025-01-30T00:00:00"/>
    <x v="1"/>
    <x v="2"/>
    <x v="2"/>
    <x v="2"/>
    <x v="0"/>
    <x v="0"/>
    <x v="3"/>
  </r>
  <r>
    <x v="639"/>
    <x v="13"/>
    <x v="11"/>
    <n v="36.4"/>
    <n v="327.59999999999997"/>
    <x v="27"/>
    <x v="4"/>
    <d v="2025-01-30T00:00:00"/>
    <x v="1"/>
    <x v="2"/>
    <x v="2"/>
    <x v="0"/>
    <x v="2"/>
    <x v="0"/>
    <x v="3"/>
  </r>
  <r>
    <x v="640"/>
    <x v="0"/>
    <x v="1"/>
    <n v="22.5"/>
    <n v="45"/>
    <x v="27"/>
    <x v="4"/>
    <d v="2025-01-31T00:00:00"/>
    <x v="2"/>
    <x v="1"/>
    <x v="1"/>
    <x v="0"/>
    <x v="0"/>
    <x v="0"/>
    <x v="3"/>
  </r>
  <r>
    <x v="641"/>
    <x v="6"/>
    <x v="12"/>
    <n v="70.8"/>
    <n v="283.2"/>
    <x v="27"/>
    <x v="4"/>
    <d v="2025-01-30T00:00:00"/>
    <x v="1"/>
    <x v="2"/>
    <x v="2"/>
    <x v="4"/>
    <x v="0"/>
    <x v="0"/>
    <x v="3"/>
  </r>
  <r>
    <x v="642"/>
    <x v="6"/>
    <x v="9"/>
    <n v="56.6"/>
    <n v="283"/>
    <x v="27"/>
    <x v="4"/>
    <d v="2025-01-30T00:00:00"/>
    <x v="1"/>
    <x v="1"/>
    <x v="1"/>
    <x v="0"/>
    <x v="1"/>
    <x v="0"/>
    <x v="4"/>
  </r>
  <r>
    <x v="643"/>
    <x v="6"/>
    <x v="1"/>
    <n v="47.9"/>
    <n v="95.8"/>
    <x v="27"/>
    <x v="4"/>
    <d v="2025-01-29T00:00:00"/>
    <x v="3"/>
    <x v="2"/>
    <x v="2"/>
    <x v="0"/>
    <x v="0"/>
    <x v="0"/>
    <x v="6"/>
  </r>
  <r>
    <x v="644"/>
    <x v="6"/>
    <x v="8"/>
    <n v="78.400000000000006"/>
    <n v="627.20000000000005"/>
    <x v="27"/>
    <x v="4"/>
    <d v="2025-01-30T00:00:00"/>
    <x v="1"/>
    <x v="2"/>
    <x v="2"/>
    <x v="1"/>
    <x v="0"/>
    <x v="0"/>
    <x v="6"/>
  </r>
  <r>
    <x v="645"/>
    <x v="2"/>
    <x v="21"/>
    <n v="122.1"/>
    <n v="1709.3999999999999"/>
    <x v="27"/>
    <x v="4"/>
    <d v="2025-02-02T00:00:00"/>
    <x v="0"/>
    <x v="2"/>
    <x v="2"/>
    <x v="0"/>
    <x v="2"/>
    <x v="0"/>
    <x v="6"/>
  </r>
  <r>
    <x v="646"/>
    <x v="2"/>
    <x v="1"/>
    <n v="83.7"/>
    <n v="167.4"/>
    <x v="28"/>
    <x v="4"/>
    <d v="2025-01-29T00:00:00"/>
    <x v="7"/>
    <x v="0"/>
    <x v="0"/>
    <x v="1"/>
    <x v="2"/>
    <x v="0"/>
    <x v="7"/>
  </r>
  <r>
    <x v="647"/>
    <x v="3"/>
    <x v="12"/>
    <n v="97.9"/>
    <n v="391.6"/>
    <x v="28"/>
    <x v="4"/>
    <d v="2025-02-02T00:00:00"/>
    <x v="5"/>
    <x v="2"/>
    <x v="2"/>
    <x v="3"/>
    <x v="2"/>
    <x v="0"/>
    <x v="7"/>
  </r>
  <r>
    <x v="648"/>
    <x v="14"/>
    <x v="0"/>
    <n v="15"/>
    <n v="15"/>
    <x v="28"/>
    <x v="4"/>
    <d v="2025-02-03T00:00:00"/>
    <x v="0"/>
    <x v="2"/>
    <x v="2"/>
    <x v="3"/>
    <x v="0"/>
    <x v="0"/>
    <x v="8"/>
  </r>
  <r>
    <x v="649"/>
    <x v="12"/>
    <x v="2"/>
    <n v="94.6"/>
    <n v="283.79999999999995"/>
    <x v="28"/>
    <x v="4"/>
    <d v="2025-01-30T00:00:00"/>
    <x v="3"/>
    <x v="1"/>
    <x v="1"/>
    <x v="2"/>
    <x v="1"/>
    <x v="0"/>
    <x v="8"/>
  </r>
  <r>
    <x v="650"/>
    <x v="0"/>
    <x v="13"/>
    <n v="19.7"/>
    <n v="118.19999999999999"/>
    <x v="28"/>
    <x v="4"/>
    <d v="2025-02-09T00:00:00"/>
    <x v="11"/>
    <x v="2"/>
    <x v="2"/>
    <x v="0"/>
    <x v="2"/>
    <x v="0"/>
    <x v="8"/>
  </r>
  <r>
    <x v="651"/>
    <x v="7"/>
    <x v="0"/>
    <n v="46.7"/>
    <n v="46.7"/>
    <x v="28"/>
    <x v="4"/>
    <d v="2025-02-01T00:00:00"/>
    <x v="2"/>
    <x v="2"/>
    <x v="2"/>
    <x v="2"/>
    <x v="0"/>
    <x v="0"/>
    <x v="17"/>
  </r>
  <r>
    <x v="652"/>
    <x v="1"/>
    <x v="12"/>
    <n v="43"/>
    <n v="172"/>
    <x v="28"/>
    <x v="4"/>
    <d v="2025-01-30T00:00:00"/>
    <x v="3"/>
    <x v="1"/>
    <x v="1"/>
    <x v="2"/>
    <x v="2"/>
    <x v="0"/>
    <x v="17"/>
  </r>
  <r>
    <x v="653"/>
    <x v="6"/>
    <x v="2"/>
    <n v="68.2"/>
    <n v="204.60000000000002"/>
    <x v="28"/>
    <x v="4"/>
    <d v="2025-02-04T00:00:00"/>
    <x v="4"/>
    <x v="2"/>
    <x v="2"/>
    <x v="0"/>
    <x v="0"/>
    <x v="0"/>
    <x v="9"/>
  </r>
  <r>
    <x v="654"/>
    <x v="10"/>
    <x v="7"/>
    <n v="24.3"/>
    <n v="243"/>
    <x v="28"/>
    <x v="4"/>
    <d v="2025-01-30T00:00:00"/>
    <x v="3"/>
    <x v="1"/>
    <x v="1"/>
    <x v="0"/>
    <x v="2"/>
    <x v="0"/>
    <x v="10"/>
  </r>
  <r>
    <x v="655"/>
    <x v="7"/>
    <x v="1"/>
    <n v="86.8"/>
    <n v="173.6"/>
    <x v="28"/>
    <x v="4"/>
    <d v="2025-02-02T00:00:00"/>
    <x v="5"/>
    <x v="2"/>
    <x v="2"/>
    <x v="4"/>
    <x v="2"/>
    <x v="0"/>
    <x v="11"/>
  </r>
  <r>
    <x v="656"/>
    <x v="0"/>
    <x v="1"/>
    <n v="15.8"/>
    <n v="31.6"/>
    <x v="28"/>
    <x v="4"/>
    <d v="2025-01-31T00:00:00"/>
    <x v="1"/>
    <x v="1"/>
    <x v="1"/>
    <x v="1"/>
    <x v="0"/>
    <x v="0"/>
    <x v="11"/>
  </r>
  <r>
    <x v="657"/>
    <x v="2"/>
    <x v="12"/>
    <n v="61.6"/>
    <n v="246.4"/>
    <x v="28"/>
    <x v="4"/>
    <d v="2025-01-30T00:00:00"/>
    <x v="3"/>
    <x v="1"/>
    <x v="1"/>
    <x v="2"/>
    <x v="0"/>
    <x v="0"/>
    <x v="11"/>
  </r>
  <r>
    <x v="658"/>
    <x v="6"/>
    <x v="2"/>
    <n v="48.7"/>
    <n v="146.10000000000002"/>
    <x v="28"/>
    <x v="4"/>
    <d v="2025-02-04T00:00:00"/>
    <x v="4"/>
    <x v="2"/>
    <x v="2"/>
    <x v="1"/>
    <x v="2"/>
    <x v="0"/>
    <x v="45"/>
  </r>
  <r>
    <x v="659"/>
    <x v="8"/>
    <x v="12"/>
    <n v="24.3"/>
    <n v="97.2"/>
    <x v="28"/>
    <x v="4"/>
    <d v="2025-01-31T00:00:00"/>
    <x v="1"/>
    <x v="2"/>
    <x v="2"/>
    <x v="1"/>
    <x v="2"/>
    <x v="0"/>
    <x v="21"/>
  </r>
  <r>
    <x v="660"/>
    <x v="2"/>
    <x v="1"/>
    <n v="130.69999999999999"/>
    <n v="261.39999999999998"/>
    <x v="28"/>
    <x v="4"/>
    <d v="2025-01-30T00:00:00"/>
    <x v="3"/>
    <x v="2"/>
    <x v="2"/>
    <x v="2"/>
    <x v="0"/>
    <x v="0"/>
    <x v="44"/>
  </r>
  <r>
    <x v="661"/>
    <x v="10"/>
    <x v="0"/>
    <n v="26"/>
    <n v="26"/>
    <x v="28"/>
    <x v="4"/>
    <d v="2025-01-31T00:00:00"/>
    <x v="1"/>
    <x v="1"/>
    <x v="1"/>
    <x v="0"/>
    <x v="0"/>
    <x v="0"/>
    <x v="3"/>
  </r>
  <r>
    <x v="662"/>
    <x v="2"/>
    <x v="9"/>
    <n v="94.4"/>
    <n v="472"/>
    <x v="28"/>
    <x v="4"/>
    <d v="2025-01-30T00:00:00"/>
    <x v="3"/>
    <x v="2"/>
    <x v="2"/>
    <x v="0"/>
    <x v="0"/>
    <x v="0"/>
    <x v="3"/>
  </r>
  <r>
    <x v="663"/>
    <x v="0"/>
    <x v="13"/>
    <n v="23.7"/>
    <n v="142.19999999999999"/>
    <x v="28"/>
    <x v="4"/>
    <d v="2025-01-31T00:00:00"/>
    <x v="1"/>
    <x v="1"/>
    <x v="1"/>
    <x v="2"/>
    <x v="2"/>
    <x v="0"/>
    <x v="3"/>
  </r>
  <r>
    <x v="664"/>
    <x v="9"/>
    <x v="4"/>
    <n v="37.4"/>
    <n v="448.79999999999995"/>
    <x v="28"/>
    <x v="4"/>
    <d v="2025-01-31T00:00:00"/>
    <x v="1"/>
    <x v="1"/>
    <x v="1"/>
    <x v="2"/>
    <x v="0"/>
    <x v="0"/>
    <x v="3"/>
  </r>
  <r>
    <x v="665"/>
    <x v="1"/>
    <x v="34"/>
    <n v="55.2"/>
    <n v="1987.2"/>
    <x v="28"/>
    <x v="4"/>
    <d v="2025-01-29T00:00:00"/>
    <x v="7"/>
    <x v="2"/>
    <x v="2"/>
    <x v="3"/>
    <x v="1"/>
    <x v="0"/>
    <x v="3"/>
  </r>
  <r>
    <x v="666"/>
    <x v="2"/>
    <x v="11"/>
    <n v="57.1"/>
    <n v="513.9"/>
    <x v="28"/>
    <x v="4"/>
    <d v="2025-01-31T00:00:00"/>
    <x v="1"/>
    <x v="1"/>
    <x v="1"/>
    <x v="0"/>
    <x v="2"/>
    <x v="0"/>
    <x v="3"/>
  </r>
  <r>
    <x v="667"/>
    <x v="12"/>
    <x v="0"/>
    <n v="55.3"/>
    <n v="55.3"/>
    <x v="28"/>
    <x v="4"/>
    <d v="2025-01-30T00:00:00"/>
    <x v="3"/>
    <x v="2"/>
    <x v="2"/>
    <x v="2"/>
    <x v="2"/>
    <x v="0"/>
    <x v="3"/>
  </r>
  <r>
    <x v="668"/>
    <x v="15"/>
    <x v="3"/>
    <n v="23.9"/>
    <n v="167.29999999999998"/>
    <x v="28"/>
    <x v="4"/>
    <d v="2025-01-30T00:00:00"/>
    <x v="3"/>
    <x v="2"/>
    <x v="2"/>
    <x v="4"/>
    <x v="1"/>
    <x v="0"/>
    <x v="3"/>
  </r>
  <r>
    <x v="669"/>
    <x v="0"/>
    <x v="0"/>
    <n v="34.1"/>
    <n v="34.1"/>
    <x v="28"/>
    <x v="4"/>
    <d v="2025-02-05T00:00:00"/>
    <x v="6"/>
    <x v="2"/>
    <x v="2"/>
    <x v="2"/>
    <x v="0"/>
    <x v="0"/>
    <x v="3"/>
  </r>
  <r>
    <x v="670"/>
    <x v="12"/>
    <x v="12"/>
    <n v="38.5"/>
    <n v="154"/>
    <x v="28"/>
    <x v="4"/>
    <d v="2025-02-09T00:00:00"/>
    <x v="11"/>
    <x v="2"/>
    <x v="2"/>
    <x v="0"/>
    <x v="0"/>
    <x v="0"/>
    <x v="3"/>
  </r>
  <r>
    <x v="671"/>
    <x v="7"/>
    <x v="1"/>
    <n v="105"/>
    <n v="210"/>
    <x v="28"/>
    <x v="4"/>
    <d v="2025-02-04T00:00:00"/>
    <x v="4"/>
    <x v="2"/>
    <x v="2"/>
    <x v="0"/>
    <x v="2"/>
    <x v="0"/>
    <x v="3"/>
  </r>
  <r>
    <x v="672"/>
    <x v="8"/>
    <x v="9"/>
    <n v="45.2"/>
    <n v="226"/>
    <x v="28"/>
    <x v="4"/>
    <d v="2025-01-31T00:00:00"/>
    <x v="1"/>
    <x v="2"/>
    <x v="2"/>
    <x v="0"/>
    <x v="2"/>
    <x v="0"/>
    <x v="3"/>
  </r>
  <r>
    <x v="673"/>
    <x v="17"/>
    <x v="2"/>
    <n v="24.8"/>
    <n v="74.400000000000006"/>
    <x v="28"/>
    <x v="4"/>
    <d v="2025-01-29T00:00:00"/>
    <x v="7"/>
    <x v="0"/>
    <x v="0"/>
    <x v="0"/>
    <x v="1"/>
    <x v="0"/>
    <x v="3"/>
  </r>
  <r>
    <x v="674"/>
    <x v="11"/>
    <x v="12"/>
    <n v="43.8"/>
    <n v="175.2"/>
    <x v="28"/>
    <x v="4"/>
    <d v="2025-02-05T00:00:00"/>
    <x v="6"/>
    <x v="2"/>
    <x v="2"/>
    <x v="1"/>
    <x v="2"/>
    <x v="0"/>
    <x v="6"/>
  </r>
  <r>
    <x v="675"/>
    <x v="1"/>
    <x v="0"/>
    <n v="75"/>
    <n v="75"/>
    <x v="28"/>
    <x v="4"/>
    <d v="2025-01-31T00:00:00"/>
    <x v="1"/>
    <x v="2"/>
    <x v="2"/>
    <x v="4"/>
    <x v="1"/>
    <x v="0"/>
    <x v="6"/>
  </r>
  <r>
    <x v="676"/>
    <x v="2"/>
    <x v="0"/>
    <n v="169.9"/>
    <n v="169.9"/>
    <x v="28"/>
    <x v="4"/>
    <d v="2025-01-30T00:00:00"/>
    <x v="3"/>
    <x v="1"/>
    <x v="1"/>
    <x v="2"/>
    <x v="0"/>
    <x v="0"/>
    <x v="6"/>
  </r>
  <r>
    <x v="677"/>
    <x v="9"/>
    <x v="1"/>
    <n v="72.2"/>
    <n v="144.4"/>
    <x v="28"/>
    <x v="4"/>
    <d v="2025-01-31T00:00:00"/>
    <x v="1"/>
    <x v="2"/>
    <x v="2"/>
    <x v="4"/>
    <x v="1"/>
    <x v="0"/>
    <x v="6"/>
  </r>
  <r>
    <x v="678"/>
    <x v="0"/>
    <x v="0"/>
    <n v="20"/>
    <n v="20"/>
    <x v="29"/>
    <x v="4"/>
    <d v="2025-02-02T00:00:00"/>
    <x v="2"/>
    <x v="2"/>
    <x v="2"/>
    <x v="2"/>
    <x v="1"/>
    <x v="0"/>
    <x v="7"/>
  </r>
  <r>
    <x v="679"/>
    <x v="9"/>
    <x v="1"/>
    <n v="40.799999999999997"/>
    <n v="81.599999999999994"/>
    <x v="29"/>
    <x v="4"/>
    <d v="2025-02-01T00:00:00"/>
    <x v="1"/>
    <x v="2"/>
    <x v="2"/>
    <x v="3"/>
    <x v="2"/>
    <x v="0"/>
    <x v="8"/>
  </r>
  <r>
    <x v="680"/>
    <x v="10"/>
    <x v="12"/>
    <n v="58"/>
    <n v="232"/>
    <x v="29"/>
    <x v="4"/>
    <d v="2025-02-03T00:00:00"/>
    <x v="5"/>
    <x v="2"/>
    <x v="2"/>
    <x v="0"/>
    <x v="0"/>
    <x v="0"/>
    <x v="8"/>
  </r>
  <r>
    <x v="681"/>
    <x v="12"/>
    <x v="1"/>
    <n v="43.1"/>
    <n v="86.2"/>
    <x v="29"/>
    <x v="4"/>
    <d v="2025-01-31T00:00:00"/>
    <x v="3"/>
    <x v="2"/>
    <x v="2"/>
    <x v="1"/>
    <x v="2"/>
    <x v="0"/>
    <x v="8"/>
  </r>
  <r>
    <x v="682"/>
    <x v="6"/>
    <x v="11"/>
    <n v="74.7"/>
    <n v="672.30000000000007"/>
    <x v="29"/>
    <x v="4"/>
    <d v="2025-02-01T00:00:00"/>
    <x v="1"/>
    <x v="1"/>
    <x v="1"/>
    <x v="0"/>
    <x v="2"/>
    <x v="0"/>
    <x v="8"/>
  </r>
  <r>
    <x v="683"/>
    <x v="6"/>
    <x v="0"/>
    <n v="128.19999999999999"/>
    <n v="128.19999999999999"/>
    <x v="29"/>
    <x v="4"/>
    <d v="2025-01-30T00:00:00"/>
    <x v="7"/>
    <x v="1"/>
    <x v="1"/>
    <x v="1"/>
    <x v="0"/>
    <x v="0"/>
    <x v="8"/>
  </r>
  <r>
    <x v="684"/>
    <x v="14"/>
    <x v="12"/>
    <n v="26.7"/>
    <n v="106.8"/>
    <x v="29"/>
    <x v="4"/>
    <d v="2025-01-31T00:00:00"/>
    <x v="3"/>
    <x v="1"/>
    <x v="1"/>
    <x v="1"/>
    <x v="0"/>
    <x v="0"/>
    <x v="8"/>
  </r>
  <r>
    <x v="685"/>
    <x v="17"/>
    <x v="13"/>
    <n v="31.5"/>
    <n v="189"/>
    <x v="29"/>
    <x v="4"/>
    <d v="2025-01-31T00:00:00"/>
    <x v="3"/>
    <x v="2"/>
    <x v="2"/>
    <x v="2"/>
    <x v="0"/>
    <x v="0"/>
    <x v="17"/>
  </r>
  <r>
    <x v="686"/>
    <x v="3"/>
    <x v="3"/>
    <n v="64.7"/>
    <n v="452.90000000000003"/>
    <x v="29"/>
    <x v="4"/>
    <d v="2025-01-31T00:00:00"/>
    <x v="3"/>
    <x v="2"/>
    <x v="2"/>
    <x v="0"/>
    <x v="2"/>
    <x v="0"/>
    <x v="9"/>
  </r>
  <r>
    <x v="687"/>
    <x v="5"/>
    <x v="1"/>
    <n v="55.6"/>
    <n v="111.2"/>
    <x v="29"/>
    <x v="4"/>
    <d v="2025-02-02T00:00:00"/>
    <x v="2"/>
    <x v="2"/>
    <x v="2"/>
    <x v="3"/>
    <x v="0"/>
    <x v="0"/>
    <x v="11"/>
  </r>
  <r>
    <x v="688"/>
    <x v="3"/>
    <x v="1"/>
    <n v="36.200000000000003"/>
    <n v="72.400000000000006"/>
    <x v="29"/>
    <x v="4"/>
    <d v="2025-01-31T00:00:00"/>
    <x v="3"/>
    <x v="2"/>
    <x v="2"/>
    <x v="3"/>
    <x v="0"/>
    <x v="0"/>
    <x v="11"/>
  </r>
  <r>
    <x v="689"/>
    <x v="0"/>
    <x v="0"/>
    <n v="26.6"/>
    <n v="26.6"/>
    <x v="29"/>
    <x v="4"/>
    <d v="2025-01-31T00:00:00"/>
    <x v="3"/>
    <x v="0"/>
    <x v="0"/>
    <x v="1"/>
    <x v="1"/>
    <x v="0"/>
    <x v="19"/>
  </r>
  <r>
    <x v="690"/>
    <x v="10"/>
    <x v="12"/>
    <n v="31.5"/>
    <n v="126"/>
    <x v="29"/>
    <x v="4"/>
    <d v="2025-02-01T00:00:00"/>
    <x v="1"/>
    <x v="1"/>
    <x v="1"/>
    <x v="0"/>
    <x v="0"/>
    <x v="0"/>
    <x v="31"/>
  </r>
  <r>
    <x v="691"/>
    <x v="10"/>
    <x v="0"/>
    <n v="27"/>
    <n v="27"/>
    <x v="29"/>
    <x v="4"/>
    <d v="2025-02-01T00:00:00"/>
    <x v="1"/>
    <x v="2"/>
    <x v="2"/>
    <x v="1"/>
    <x v="2"/>
    <x v="0"/>
    <x v="13"/>
  </r>
  <r>
    <x v="692"/>
    <x v="4"/>
    <x v="0"/>
    <n v="32"/>
    <n v="32"/>
    <x v="29"/>
    <x v="4"/>
    <d v="2025-02-02T00:00:00"/>
    <x v="2"/>
    <x v="1"/>
    <x v="1"/>
    <x v="3"/>
    <x v="0"/>
    <x v="0"/>
    <x v="21"/>
  </r>
  <r>
    <x v="693"/>
    <x v="1"/>
    <x v="2"/>
    <n v="48.1"/>
    <n v="144.30000000000001"/>
    <x v="29"/>
    <x v="4"/>
    <d v="2025-02-01T00:00:00"/>
    <x v="1"/>
    <x v="1"/>
    <x v="1"/>
    <x v="2"/>
    <x v="1"/>
    <x v="0"/>
    <x v="1"/>
  </r>
  <r>
    <x v="694"/>
    <x v="9"/>
    <x v="1"/>
    <n v="43.4"/>
    <n v="86.8"/>
    <x v="29"/>
    <x v="4"/>
    <d v="2025-01-31T00:00:00"/>
    <x v="3"/>
    <x v="1"/>
    <x v="1"/>
    <x v="1"/>
    <x v="1"/>
    <x v="0"/>
    <x v="22"/>
  </r>
  <r>
    <x v="695"/>
    <x v="6"/>
    <x v="1"/>
    <n v="42.6"/>
    <n v="85.2"/>
    <x v="29"/>
    <x v="4"/>
    <d v="2025-02-02T00:00:00"/>
    <x v="2"/>
    <x v="2"/>
    <x v="2"/>
    <x v="3"/>
    <x v="0"/>
    <x v="0"/>
    <x v="22"/>
  </r>
  <r>
    <x v="696"/>
    <x v="8"/>
    <x v="1"/>
    <n v="15.9"/>
    <n v="31.8"/>
    <x v="29"/>
    <x v="4"/>
    <d v="2025-01-31T00:00:00"/>
    <x v="3"/>
    <x v="2"/>
    <x v="2"/>
    <x v="0"/>
    <x v="0"/>
    <x v="0"/>
    <x v="34"/>
  </r>
  <r>
    <x v="697"/>
    <x v="9"/>
    <x v="1"/>
    <n v="63.2"/>
    <n v="126.4"/>
    <x v="29"/>
    <x v="4"/>
    <d v="2025-01-31T00:00:00"/>
    <x v="3"/>
    <x v="1"/>
    <x v="1"/>
    <x v="1"/>
    <x v="0"/>
    <x v="0"/>
    <x v="3"/>
  </r>
  <r>
    <x v="698"/>
    <x v="7"/>
    <x v="12"/>
    <n v="64.8"/>
    <n v="259.2"/>
    <x v="29"/>
    <x v="4"/>
    <d v="2025-02-01T00:00:00"/>
    <x v="1"/>
    <x v="0"/>
    <x v="0"/>
    <x v="4"/>
    <x v="1"/>
    <x v="0"/>
    <x v="3"/>
  </r>
  <r>
    <x v="699"/>
    <x v="7"/>
    <x v="2"/>
    <n v="79.8"/>
    <n v="239.39999999999998"/>
    <x v="29"/>
    <x v="4"/>
    <d v="2025-01-31T00:00:00"/>
    <x v="3"/>
    <x v="1"/>
    <x v="1"/>
    <x v="0"/>
    <x v="0"/>
    <x v="0"/>
    <x v="3"/>
  </r>
  <r>
    <x v="700"/>
    <x v="9"/>
    <x v="0"/>
    <n v="54.4"/>
    <n v="54.4"/>
    <x v="29"/>
    <x v="4"/>
    <d v="2025-02-01T00:00:00"/>
    <x v="1"/>
    <x v="2"/>
    <x v="2"/>
    <x v="4"/>
    <x v="2"/>
    <x v="0"/>
    <x v="3"/>
  </r>
  <r>
    <x v="701"/>
    <x v="6"/>
    <x v="0"/>
    <n v="87.3"/>
    <n v="87.3"/>
    <x v="29"/>
    <x v="4"/>
    <d v="2025-01-31T00:00:00"/>
    <x v="3"/>
    <x v="1"/>
    <x v="1"/>
    <x v="1"/>
    <x v="0"/>
    <x v="0"/>
    <x v="3"/>
  </r>
  <r>
    <x v="702"/>
    <x v="8"/>
    <x v="12"/>
    <n v="32.4"/>
    <n v="129.6"/>
    <x v="29"/>
    <x v="4"/>
    <d v="2025-01-30T00:00:00"/>
    <x v="7"/>
    <x v="1"/>
    <x v="1"/>
    <x v="1"/>
    <x v="0"/>
    <x v="0"/>
    <x v="3"/>
  </r>
  <r>
    <x v="703"/>
    <x v="2"/>
    <x v="0"/>
    <n v="177.4"/>
    <n v="177.4"/>
    <x v="29"/>
    <x v="4"/>
    <d v="2025-02-03T00:00:00"/>
    <x v="5"/>
    <x v="1"/>
    <x v="1"/>
    <x v="0"/>
    <x v="2"/>
    <x v="0"/>
    <x v="3"/>
  </r>
  <r>
    <x v="704"/>
    <x v="7"/>
    <x v="1"/>
    <n v="70.099999999999994"/>
    <n v="140.19999999999999"/>
    <x v="29"/>
    <x v="4"/>
    <d v="2025-01-31T00:00:00"/>
    <x v="3"/>
    <x v="1"/>
    <x v="1"/>
    <x v="3"/>
    <x v="1"/>
    <x v="0"/>
    <x v="3"/>
  </r>
  <r>
    <x v="705"/>
    <x v="9"/>
    <x v="13"/>
    <n v="51.1"/>
    <n v="306.60000000000002"/>
    <x v="29"/>
    <x v="4"/>
    <d v="2025-01-31T00:00:00"/>
    <x v="3"/>
    <x v="2"/>
    <x v="2"/>
    <x v="0"/>
    <x v="0"/>
    <x v="0"/>
    <x v="3"/>
  </r>
  <r>
    <x v="706"/>
    <x v="2"/>
    <x v="9"/>
    <n v="79.900000000000006"/>
    <n v="399.5"/>
    <x v="29"/>
    <x v="4"/>
    <d v="2025-02-01T00:00:00"/>
    <x v="1"/>
    <x v="1"/>
    <x v="1"/>
    <x v="3"/>
    <x v="2"/>
    <x v="0"/>
    <x v="24"/>
  </r>
  <r>
    <x v="707"/>
    <x v="6"/>
    <x v="0"/>
    <n v="57.6"/>
    <n v="57.6"/>
    <x v="30"/>
    <x v="4"/>
    <d v="2025-02-05T00:00:00"/>
    <x v="0"/>
    <x v="1"/>
    <x v="1"/>
    <x v="0"/>
    <x v="2"/>
    <x v="0"/>
    <x v="49"/>
  </r>
  <r>
    <x v="708"/>
    <x v="8"/>
    <x v="7"/>
    <n v="59.7"/>
    <n v="597"/>
    <x v="30"/>
    <x v="4"/>
    <d v="2025-02-04T00:00:00"/>
    <x v="5"/>
    <x v="1"/>
    <x v="1"/>
    <x v="2"/>
    <x v="0"/>
    <x v="0"/>
    <x v="25"/>
  </r>
  <r>
    <x v="709"/>
    <x v="8"/>
    <x v="9"/>
    <n v="30"/>
    <n v="150"/>
    <x v="30"/>
    <x v="4"/>
    <d v="2025-02-02T00:00:00"/>
    <x v="1"/>
    <x v="1"/>
    <x v="1"/>
    <x v="1"/>
    <x v="0"/>
    <x v="0"/>
    <x v="6"/>
  </r>
  <r>
    <x v="710"/>
    <x v="10"/>
    <x v="1"/>
    <n v="69.2"/>
    <n v="138.4"/>
    <x v="30"/>
    <x v="4"/>
    <d v="2025-02-02T00:00:00"/>
    <x v="1"/>
    <x v="0"/>
    <x v="0"/>
    <x v="2"/>
    <x v="1"/>
    <x v="0"/>
    <x v="6"/>
  </r>
  <r>
    <x v="711"/>
    <x v="0"/>
    <x v="8"/>
    <n v="10.9"/>
    <n v="87.2"/>
    <x v="30"/>
    <x v="4"/>
    <d v="2025-02-01T00:00:00"/>
    <x v="3"/>
    <x v="2"/>
    <x v="2"/>
    <x v="0"/>
    <x v="2"/>
    <x v="0"/>
    <x v="6"/>
  </r>
  <r>
    <x v="712"/>
    <x v="16"/>
    <x v="1"/>
    <n v="48.6"/>
    <n v="97.2"/>
    <x v="30"/>
    <x v="4"/>
    <d v="2025-02-04T00:00:00"/>
    <x v="5"/>
    <x v="1"/>
    <x v="1"/>
    <x v="1"/>
    <x v="2"/>
    <x v="0"/>
    <x v="6"/>
  </r>
  <r>
    <x v="713"/>
    <x v="2"/>
    <x v="1"/>
    <n v="61.1"/>
    <n v="122.2"/>
    <x v="30"/>
    <x v="4"/>
    <d v="2025-02-03T00:00:00"/>
    <x v="2"/>
    <x v="2"/>
    <x v="2"/>
    <x v="1"/>
    <x v="2"/>
    <x v="0"/>
    <x v="7"/>
  </r>
  <r>
    <x v="714"/>
    <x v="8"/>
    <x v="1"/>
    <n v="23.2"/>
    <n v="46.4"/>
    <x v="30"/>
    <x v="4"/>
    <d v="2025-02-01T00:00:00"/>
    <x v="3"/>
    <x v="1"/>
    <x v="1"/>
    <x v="3"/>
    <x v="2"/>
    <x v="0"/>
    <x v="8"/>
  </r>
  <r>
    <x v="715"/>
    <x v="12"/>
    <x v="12"/>
    <n v="55.8"/>
    <n v="223.2"/>
    <x v="30"/>
    <x v="4"/>
    <d v="2025-02-01T00:00:00"/>
    <x v="3"/>
    <x v="1"/>
    <x v="1"/>
    <x v="0"/>
    <x v="0"/>
    <x v="0"/>
    <x v="8"/>
  </r>
  <r>
    <x v="716"/>
    <x v="9"/>
    <x v="12"/>
    <n v="24.8"/>
    <n v="99.2"/>
    <x v="30"/>
    <x v="4"/>
    <d v="2025-02-01T00:00:00"/>
    <x v="3"/>
    <x v="2"/>
    <x v="2"/>
    <x v="0"/>
    <x v="2"/>
    <x v="0"/>
    <x v="8"/>
  </r>
  <r>
    <x v="717"/>
    <x v="10"/>
    <x v="1"/>
    <n v="27.9"/>
    <n v="55.8"/>
    <x v="30"/>
    <x v="4"/>
    <d v="2025-01-31T00:00:00"/>
    <x v="7"/>
    <x v="1"/>
    <x v="1"/>
    <x v="2"/>
    <x v="2"/>
    <x v="0"/>
    <x v="8"/>
  </r>
  <r>
    <x v="718"/>
    <x v="10"/>
    <x v="13"/>
    <n v="51.1"/>
    <n v="306.60000000000002"/>
    <x v="30"/>
    <x v="4"/>
    <d v="2025-01-31T00:00:00"/>
    <x v="7"/>
    <x v="2"/>
    <x v="2"/>
    <x v="3"/>
    <x v="0"/>
    <x v="0"/>
    <x v="8"/>
  </r>
  <r>
    <x v="719"/>
    <x v="17"/>
    <x v="5"/>
    <n v="32.700000000000003"/>
    <n v="359.70000000000005"/>
    <x v="30"/>
    <x v="4"/>
    <d v="2025-02-01T00:00:00"/>
    <x v="3"/>
    <x v="1"/>
    <x v="1"/>
    <x v="4"/>
    <x v="2"/>
    <x v="0"/>
    <x v="17"/>
  </r>
  <r>
    <x v="720"/>
    <x v="8"/>
    <x v="12"/>
    <n v="22.5"/>
    <n v="90"/>
    <x v="30"/>
    <x v="4"/>
    <d v="2025-01-31T00:00:00"/>
    <x v="7"/>
    <x v="1"/>
    <x v="1"/>
    <x v="0"/>
    <x v="2"/>
    <x v="0"/>
    <x v="26"/>
  </r>
  <r>
    <x v="721"/>
    <x v="0"/>
    <x v="3"/>
    <n v="14.6"/>
    <n v="102.2"/>
    <x v="30"/>
    <x v="4"/>
    <d v="2025-02-01T00:00:00"/>
    <x v="3"/>
    <x v="2"/>
    <x v="2"/>
    <x v="2"/>
    <x v="0"/>
    <x v="0"/>
    <x v="41"/>
  </r>
  <r>
    <x v="722"/>
    <x v="5"/>
    <x v="2"/>
    <n v="32.5"/>
    <n v="97.5"/>
    <x v="30"/>
    <x v="4"/>
    <d v="2025-02-03T00:00:00"/>
    <x v="2"/>
    <x v="1"/>
    <x v="1"/>
    <x v="0"/>
    <x v="0"/>
    <x v="0"/>
    <x v="10"/>
  </r>
  <r>
    <x v="723"/>
    <x v="18"/>
    <x v="0"/>
    <n v="78.099999999999994"/>
    <n v="78.099999999999994"/>
    <x v="30"/>
    <x v="4"/>
    <d v="2025-02-03T00:00:00"/>
    <x v="2"/>
    <x v="1"/>
    <x v="1"/>
    <x v="0"/>
    <x v="2"/>
    <x v="0"/>
    <x v="11"/>
  </r>
  <r>
    <x v="724"/>
    <x v="12"/>
    <x v="13"/>
    <n v="110.2"/>
    <n v="661.2"/>
    <x v="30"/>
    <x v="4"/>
    <d v="2025-01-31T00:00:00"/>
    <x v="7"/>
    <x v="1"/>
    <x v="1"/>
    <x v="1"/>
    <x v="4"/>
    <x v="0"/>
    <x v="13"/>
  </r>
  <r>
    <x v="725"/>
    <x v="6"/>
    <x v="2"/>
    <n v="86.3"/>
    <n v="258.89999999999998"/>
    <x v="30"/>
    <x v="4"/>
    <d v="2025-02-02T00:00:00"/>
    <x v="1"/>
    <x v="2"/>
    <x v="2"/>
    <x v="3"/>
    <x v="0"/>
    <x v="0"/>
    <x v="21"/>
  </r>
  <r>
    <x v="726"/>
    <x v="1"/>
    <x v="13"/>
    <n v="73.599999999999994"/>
    <n v="441.59999999999997"/>
    <x v="30"/>
    <x v="4"/>
    <d v="2025-02-02T00:00:00"/>
    <x v="1"/>
    <x v="3"/>
    <x v="3"/>
    <x v="3"/>
    <x v="4"/>
    <x v="0"/>
    <x v="44"/>
  </r>
  <r>
    <x v="727"/>
    <x v="6"/>
    <x v="15"/>
    <n v="67.7"/>
    <n v="880.1"/>
    <x v="30"/>
    <x v="4"/>
    <d v="2025-02-02T00:00:00"/>
    <x v="1"/>
    <x v="2"/>
    <x v="2"/>
    <x v="0"/>
    <x v="2"/>
    <x v="0"/>
    <x v="3"/>
  </r>
  <r>
    <x v="728"/>
    <x v="7"/>
    <x v="13"/>
    <n v="142.19999999999999"/>
    <n v="853.19999999999993"/>
    <x v="30"/>
    <x v="4"/>
    <d v="2025-02-01T00:00:00"/>
    <x v="3"/>
    <x v="2"/>
    <x v="2"/>
    <x v="2"/>
    <x v="4"/>
    <x v="0"/>
    <x v="3"/>
  </r>
  <r>
    <x v="729"/>
    <x v="1"/>
    <x v="11"/>
    <n v="45.8"/>
    <n v="412.2"/>
    <x v="30"/>
    <x v="4"/>
    <d v="2025-02-02T00:00:00"/>
    <x v="1"/>
    <x v="2"/>
    <x v="2"/>
    <x v="1"/>
    <x v="2"/>
    <x v="0"/>
    <x v="3"/>
  </r>
  <r>
    <x v="730"/>
    <x v="10"/>
    <x v="1"/>
    <n v="24.2"/>
    <n v="48.4"/>
    <x v="31"/>
    <x v="4"/>
    <d v="2025-02-04T00:00:00"/>
    <x v="2"/>
    <x v="2"/>
    <x v="2"/>
    <x v="3"/>
    <x v="2"/>
    <x v="0"/>
    <x v="3"/>
  </r>
  <r>
    <x v="731"/>
    <x v="2"/>
    <x v="2"/>
    <n v="144.9"/>
    <n v="434.70000000000005"/>
    <x v="31"/>
    <x v="4"/>
    <d v="2025-02-02T00:00:00"/>
    <x v="3"/>
    <x v="3"/>
    <x v="3"/>
    <x v="2"/>
    <x v="2"/>
    <x v="0"/>
    <x v="3"/>
  </r>
  <r>
    <x v="732"/>
    <x v="11"/>
    <x v="9"/>
    <n v="32.799999999999997"/>
    <n v="164"/>
    <x v="31"/>
    <x v="4"/>
    <d v="2025-02-04T00:00:00"/>
    <x v="2"/>
    <x v="2"/>
    <x v="2"/>
    <x v="2"/>
    <x v="0"/>
    <x v="0"/>
    <x v="23"/>
  </r>
  <r>
    <x v="733"/>
    <x v="7"/>
    <x v="7"/>
    <n v="35.700000000000003"/>
    <n v="357"/>
    <x v="31"/>
    <x v="4"/>
    <d v="2025-02-01T00:00:00"/>
    <x v="7"/>
    <x v="2"/>
    <x v="2"/>
    <x v="0"/>
    <x v="1"/>
    <x v="0"/>
    <x v="6"/>
  </r>
  <r>
    <x v="734"/>
    <x v="9"/>
    <x v="1"/>
    <n v="54.6"/>
    <n v="109.2"/>
    <x v="31"/>
    <x v="4"/>
    <d v="2025-02-02T00:00:00"/>
    <x v="3"/>
    <x v="2"/>
    <x v="2"/>
    <x v="2"/>
    <x v="0"/>
    <x v="0"/>
    <x v="6"/>
  </r>
  <r>
    <x v="735"/>
    <x v="8"/>
    <x v="1"/>
    <n v="35.700000000000003"/>
    <n v="71.400000000000006"/>
    <x v="31"/>
    <x v="4"/>
    <d v="2025-02-04T00:00:00"/>
    <x v="2"/>
    <x v="0"/>
    <x v="0"/>
    <x v="0"/>
    <x v="1"/>
    <x v="0"/>
    <x v="6"/>
  </r>
  <r>
    <x v="736"/>
    <x v="10"/>
    <x v="1"/>
    <n v="52.4"/>
    <n v="104.8"/>
    <x v="31"/>
    <x v="4"/>
    <d v="2025-02-01T00:00:00"/>
    <x v="7"/>
    <x v="2"/>
    <x v="2"/>
    <x v="0"/>
    <x v="3"/>
    <x v="0"/>
    <x v="6"/>
  </r>
  <r>
    <x v="737"/>
    <x v="8"/>
    <x v="21"/>
    <n v="16.2"/>
    <n v="226.79999999999998"/>
    <x v="31"/>
    <x v="4"/>
    <d v="2025-02-02T00:00:00"/>
    <x v="3"/>
    <x v="0"/>
    <x v="0"/>
    <x v="0"/>
    <x v="1"/>
    <x v="0"/>
    <x v="8"/>
  </r>
  <r>
    <x v="738"/>
    <x v="6"/>
    <x v="35"/>
    <n v="42.8"/>
    <n v="2011.6"/>
    <x v="31"/>
    <x v="4"/>
    <d v="2025-02-02T00:00:00"/>
    <x v="3"/>
    <x v="2"/>
    <x v="2"/>
    <x v="0"/>
    <x v="0"/>
    <x v="0"/>
    <x v="8"/>
  </r>
  <r>
    <x v="739"/>
    <x v="6"/>
    <x v="11"/>
    <n v="144.4"/>
    <n v="1299.6000000000001"/>
    <x v="31"/>
    <x v="4"/>
    <d v="2025-02-04T00:00:00"/>
    <x v="2"/>
    <x v="2"/>
    <x v="2"/>
    <x v="4"/>
    <x v="0"/>
    <x v="0"/>
    <x v="8"/>
  </r>
  <r>
    <x v="740"/>
    <x v="3"/>
    <x v="34"/>
    <n v="30.6"/>
    <n v="1101.6000000000001"/>
    <x v="31"/>
    <x v="4"/>
    <d v="2025-02-05T00:00:00"/>
    <x v="5"/>
    <x v="2"/>
    <x v="2"/>
    <x v="2"/>
    <x v="2"/>
    <x v="0"/>
    <x v="11"/>
  </r>
  <r>
    <x v="741"/>
    <x v="2"/>
    <x v="1"/>
    <n v="117.5"/>
    <n v="235"/>
    <x v="31"/>
    <x v="4"/>
    <d v="2025-02-02T00:00:00"/>
    <x v="3"/>
    <x v="1"/>
    <x v="1"/>
    <x v="0"/>
    <x v="0"/>
    <x v="0"/>
    <x v="19"/>
  </r>
  <r>
    <x v="742"/>
    <x v="6"/>
    <x v="1"/>
    <n v="105.7"/>
    <n v="211.4"/>
    <x v="31"/>
    <x v="4"/>
    <d v="2025-02-02T00:00:00"/>
    <x v="3"/>
    <x v="2"/>
    <x v="2"/>
    <x v="2"/>
    <x v="2"/>
    <x v="0"/>
    <x v="21"/>
  </r>
  <r>
    <x v="743"/>
    <x v="3"/>
    <x v="2"/>
    <n v="133.69999999999999"/>
    <n v="401.09999999999997"/>
    <x v="31"/>
    <x v="4"/>
    <d v="2025-02-02T00:00:00"/>
    <x v="3"/>
    <x v="0"/>
    <x v="0"/>
    <x v="4"/>
    <x v="2"/>
    <x v="0"/>
    <x v="21"/>
  </r>
  <r>
    <x v="744"/>
    <x v="4"/>
    <x v="9"/>
    <n v="46.8"/>
    <n v="234"/>
    <x v="32"/>
    <x v="5"/>
    <d v="2025-02-10T00:00:00"/>
    <x v="9"/>
    <x v="2"/>
    <x v="2"/>
    <x v="0"/>
    <x v="1"/>
    <x v="0"/>
    <x v="21"/>
  </r>
  <r>
    <x v="745"/>
    <x v="10"/>
    <x v="2"/>
    <n v="58.4"/>
    <n v="175.2"/>
    <x v="32"/>
    <x v="5"/>
    <d v="2025-02-04T00:00:00"/>
    <x v="1"/>
    <x v="2"/>
    <x v="2"/>
    <x v="0"/>
    <x v="0"/>
    <x v="0"/>
    <x v="1"/>
  </r>
  <r>
    <x v="746"/>
    <x v="6"/>
    <x v="11"/>
    <n v="65.099999999999994"/>
    <n v="585.9"/>
    <x v="32"/>
    <x v="5"/>
    <d v="2025-02-06T00:00:00"/>
    <x v="5"/>
    <x v="1"/>
    <x v="1"/>
    <x v="1"/>
    <x v="2"/>
    <x v="0"/>
    <x v="22"/>
  </r>
  <r>
    <x v="747"/>
    <x v="8"/>
    <x v="0"/>
    <n v="18.600000000000001"/>
    <n v="18.600000000000001"/>
    <x v="32"/>
    <x v="5"/>
    <d v="2025-02-05T00:00:00"/>
    <x v="2"/>
    <x v="2"/>
    <x v="2"/>
    <x v="0"/>
    <x v="4"/>
    <x v="0"/>
    <x v="22"/>
  </r>
  <r>
    <x v="748"/>
    <x v="1"/>
    <x v="5"/>
    <n v="92.3"/>
    <n v="1015.3"/>
    <x v="32"/>
    <x v="5"/>
    <d v="2025-02-04T00:00:00"/>
    <x v="1"/>
    <x v="1"/>
    <x v="1"/>
    <x v="1"/>
    <x v="0"/>
    <x v="0"/>
    <x v="3"/>
  </r>
  <r>
    <x v="749"/>
    <x v="6"/>
    <x v="2"/>
    <n v="81.7"/>
    <n v="245.10000000000002"/>
    <x v="32"/>
    <x v="5"/>
    <d v="2025-02-03T00:00:00"/>
    <x v="3"/>
    <x v="0"/>
    <x v="0"/>
    <x v="4"/>
    <x v="4"/>
    <x v="0"/>
    <x v="3"/>
  </r>
  <r>
    <x v="750"/>
    <x v="8"/>
    <x v="1"/>
    <n v="40.9"/>
    <n v="81.8"/>
    <x v="32"/>
    <x v="5"/>
    <d v="2025-02-04T00:00:00"/>
    <x v="1"/>
    <x v="1"/>
    <x v="1"/>
    <x v="0"/>
    <x v="1"/>
    <x v="0"/>
    <x v="3"/>
  </r>
  <r>
    <x v="751"/>
    <x v="6"/>
    <x v="12"/>
    <n v="43.2"/>
    <n v="172.8"/>
    <x v="32"/>
    <x v="5"/>
    <d v="2025-02-08T00:00:00"/>
    <x v="4"/>
    <x v="2"/>
    <x v="2"/>
    <x v="0"/>
    <x v="1"/>
    <x v="0"/>
    <x v="3"/>
  </r>
  <r>
    <x v="752"/>
    <x v="8"/>
    <x v="5"/>
    <n v="25.8"/>
    <n v="283.8"/>
    <x v="32"/>
    <x v="5"/>
    <d v="2025-02-05T00:00:00"/>
    <x v="2"/>
    <x v="1"/>
    <x v="1"/>
    <x v="2"/>
    <x v="1"/>
    <x v="0"/>
    <x v="3"/>
  </r>
  <r>
    <x v="753"/>
    <x v="15"/>
    <x v="12"/>
    <n v="36.4"/>
    <n v="145.6"/>
    <x v="32"/>
    <x v="5"/>
    <d v="2025-02-03T00:00:00"/>
    <x v="3"/>
    <x v="1"/>
    <x v="1"/>
    <x v="0"/>
    <x v="0"/>
    <x v="0"/>
    <x v="3"/>
  </r>
  <r>
    <x v="754"/>
    <x v="10"/>
    <x v="0"/>
    <n v="59.1"/>
    <n v="59.1"/>
    <x v="32"/>
    <x v="5"/>
    <d v="2025-02-03T00:00:00"/>
    <x v="3"/>
    <x v="2"/>
    <x v="2"/>
    <x v="2"/>
    <x v="0"/>
    <x v="0"/>
    <x v="7"/>
  </r>
  <r>
    <x v="755"/>
    <x v="2"/>
    <x v="14"/>
    <n v="74.5"/>
    <n v="1266.5"/>
    <x v="32"/>
    <x v="5"/>
    <d v="2025-02-04T00:00:00"/>
    <x v="1"/>
    <x v="1"/>
    <x v="1"/>
    <x v="4"/>
    <x v="0"/>
    <x v="0"/>
    <x v="18"/>
  </r>
  <r>
    <x v="756"/>
    <x v="5"/>
    <x v="0"/>
    <n v="72.8"/>
    <n v="72.8"/>
    <x v="32"/>
    <x v="5"/>
    <d v="2025-02-03T00:00:00"/>
    <x v="3"/>
    <x v="2"/>
    <x v="2"/>
    <x v="0"/>
    <x v="1"/>
    <x v="0"/>
    <x v="19"/>
  </r>
  <r>
    <x v="757"/>
    <x v="6"/>
    <x v="12"/>
    <n v="137.30000000000001"/>
    <n v="549.20000000000005"/>
    <x v="32"/>
    <x v="5"/>
    <d v="2025-02-05T00:00:00"/>
    <x v="2"/>
    <x v="2"/>
    <x v="2"/>
    <x v="0"/>
    <x v="0"/>
    <x v="0"/>
    <x v="13"/>
  </r>
  <r>
    <x v="758"/>
    <x v="1"/>
    <x v="2"/>
    <n v="48.7"/>
    <n v="146.10000000000002"/>
    <x v="32"/>
    <x v="5"/>
    <d v="2025-02-07T00:00:00"/>
    <x v="0"/>
    <x v="2"/>
    <x v="2"/>
    <x v="0"/>
    <x v="1"/>
    <x v="0"/>
    <x v="21"/>
  </r>
  <r>
    <x v="759"/>
    <x v="6"/>
    <x v="12"/>
    <n v="53.7"/>
    <n v="214.8"/>
    <x v="32"/>
    <x v="5"/>
    <d v="2025-02-06T00:00:00"/>
    <x v="5"/>
    <x v="1"/>
    <x v="1"/>
    <x v="1"/>
    <x v="4"/>
    <x v="0"/>
    <x v="2"/>
  </r>
  <r>
    <x v="760"/>
    <x v="2"/>
    <x v="3"/>
    <n v="100.9"/>
    <n v="706.30000000000007"/>
    <x v="32"/>
    <x v="5"/>
    <d v="2025-02-04T00:00:00"/>
    <x v="1"/>
    <x v="2"/>
    <x v="2"/>
    <x v="0"/>
    <x v="1"/>
    <x v="0"/>
    <x v="2"/>
  </r>
  <r>
    <x v="761"/>
    <x v="10"/>
    <x v="1"/>
    <n v="41.8"/>
    <n v="83.6"/>
    <x v="32"/>
    <x v="5"/>
    <d v="2025-02-06T00:00:00"/>
    <x v="5"/>
    <x v="1"/>
    <x v="1"/>
    <x v="3"/>
    <x v="2"/>
    <x v="0"/>
    <x v="22"/>
  </r>
  <r>
    <x v="762"/>
    <x v="4"/>
    <x v="8"/>
    <n v="28.5"/>
    <n v="228"/>
    <x v="32"/>
    <x v="5"/>
    <d v="2025-02-04T00:00:00"/>
    <x v="1"/>
    <x v="1"/>
    <x v="1"/>
    <x v="2"/>
    <x v="1"/>
    <x v="0"/>
    <x v="3"/>
  </r>
  <r>
    <x v="763"/>
    <x v="7"/>
    <x v="12"/>
    <n v="88.9"/>
    <n v="355.6"/>
    <x v="32"/>
    <x v="5"/>
    <d v="2025-02-05T00:00:00"/>
    <x v="2"/>
    <x v="2"/>
    <x v="2"/>
    <x v="0"/>
    <x v="2"/>
    <x v="0"/>
    <x v="3"/>
  </r>
  <r>
    <x v="764"/>
    <x v="6"/>
    <x v="0"/>
    <n v="62.5"/>
    <n v="62.5"/>
    <x v="32"/>
    <x v="5"/>
    <d v="2025-02-11T00:00:00"/>
    <x v="8"/>
    <x v="2"/>
    <x v="2"/>
    <x v="0"/>
    <x v="2"/>
    <x v="0"/>
    <x v="3"/>
  </r>
  <r>
    <x v="765"/>
    <x v="1"/>
    <x v="2"/>
    <n v="46.9"/>
    <n v="140.69999999999999"/>
    <x v="32"/>
    <x v="5"/>
    <d v="2025-02-03T00:00:00"/>
    <x v="3"/>
    <x v="1"/>
    <x v="1"/>
    <x v="0"/>
    <x v="2"/>
    <x v="0"/>
    <x v="3"/>
  </r>
  <r>
    <x v="766"/>
    <x v="8"/>
    <x v="2"/>
    <n v="45"/>
    <n v="135"/>
    <x v="32"/>
    <x v="5"/>
    <d v="2025-02-16T00:00:00"/>
    <x v="12"/>
    <x v="1"/>
    <x v="1"/>
    <x v="1"/>
    <x v="0"/>
    <x v="0"/>
    <x v="3"/>
  </r>
  <r>
    <x v="767"/>
    <x v="6"/>
    <x v="2"/>
    <n v="45.2"/>
    <n v="135.60000000000002"/>
    <x v="32"/>
    <x v="5"/>
    <d v="2025-02-04T00:00:00"/>
    <x v="1"/>
    <x v="1"/>
    <x v="1"/>
    <x v="4"/>
    <x v="2"/>
    <x v="0"/>
    <x v="3"/>
  </r>
  <r>
    <x v="768"/>
    <x v="4"/>
    <x v="1"/>
    <n v="60.1"/>
    <n v="120.2"/>
    <x v="32"/>
    <x v="5"/>
    <d v="2025-02-03T00:00:00"/>
    <x v="3"/>
    <x v="2"/>
    <x v="2"/>
    <x v="0"/>
    <x v="2"/>
    <x v="0"/>
    <x v="3"/>
  </r>
  <r>
    <x v="769"/>
    <x v="12"/>
    <x v="12"/>
    <n v="118.7"/>
    <n v="474.8"/>
    <x v="32"/>
    <x v="5"/>
    <d v="2025-02-04T00:00:00"/>
    <x v="1"/>
    <x v="2"/>
    <x v="2"/>
    <x v="0"/>
    <x v="0"/>
    <x v="0"/>
    <x v="3"/>
  </r>
  <r>
    <x v="770"/>
    <x v="9"/>
    <x v="0"/>
    <n v="57.8"/>
    <n v="57.8"/>
    <x v="32"/>
    <x v="5"/>
    <d v="2025-02-11T00:00:00"/>
    <x v="8"/>
    <x v="2"/>
    <x v="2"/>
    <x v="1"/>
    <x v="0"/>
    <x v="0"/>
    <x v="3"/>
  </r>
  <r>
    <x v="771"/>
    <x v="4"/>
    <x v="0"/>
    <n v="19.5"/>
    <n v="19.5"/>
    <x v="32"/>
    <x v="5"/>
    <d v="2025-02-03T00:00:00"/>
    <x v="3"/>
    <x v="1"/>
    <x v="1"/>
    <x v="1"/>
    <x v="1"/>
    <x v="0"/>
    <x v="3"/>
  </r>
  <r>
    <x v="772"/>
    <x v="12"/>
    <x v="0"/>
    <n v="42.6"/>
    <n v="42.6"/>
    <x v="32"/>
    <x v="5"/>
    <d v="2025-02-03T00:00:00"/>
    <x v="3"/>
    <x v="1"/>
    <x v="1"/>
    <x v="0"/>
    <x v="1"/>
    <x v="0"/>
    <x v="3"/>
  </r>
  <r>
    <x v="773"/>
    <x v="6"/>
    <x v="1"/>
    <n v="74.8"/>
    <n v="149.6"/>
    <x v="32"/>
    <x v="5"/>
    <d v="2025-02-03T00:00:00"/>
    <x v="3"/>
    <x v="2"/>
    <x v="2"/>
    <x v="3"/>
    <x v="2"/>
    <x v="0"/>
    <x v="37"/>
  </r>
  <r>
    <x v="774"/>
    <x v="8"/>
    <x v="2"/>
    <n v="32.5"/>
    <n v="97.5"/>
    <x v="32"/>
    <x v="5"/>
    <d v="2025-02-03T00:00:00"/>
    <x v="3"/>
    <x v="1"/>
    <x v="1"/>
    <x v="2"/>
    <x v="4"/>
    <x v="0"/>
    <x v="16"/>
  </r>
  <r>
    <x v="775"/>
    <x v="2"/>
    <x v="2"/>
    <n v="60.5"/>
    <n v="181.5"/>
    <x v="32"/>
    <x v="5"/>
    <d v="2025-02-02T00:00:00"/>
    <x v="7"/>
    <x v="2"/>
    <x v="2"/>
    <x v="1"/>
    <x v="2"/>
    <x v="0"/>
    <x v="25"/>
  </r>
  <r>
    <x v="776"/>
    <x v="1"/>
    <x v="3"/>
    <n v="57.2"/>
    <n v="400.40000000000003"/>
    <x v="32"/>
    <x v="5"/>
    <d v="2025-02-04T00:00:00"/>
    <x v="1"/>
    <x v="0"/>
    <x v="0"/>
    <x v="2"/>
    <x v="0"/>
    <x v="0"/>
    <x v="25"/>
  </r>
  <r>
    <x v="777"/>
    <x v="16"/>
    <x v="1"/>
    <n v="112"/>
    <n v="224"/>
    <x v="32"/>
    <x v="5"/>
    <d v="2025-02-03T00:00:00"/>
    <x v="3"/>
    <x v="2"/>
    <x v="2"/>
    <x v="1"/>
    <x v="1"/>
    <x v="0"/>
    <x v="5"/>
  </r>
  <r>
    <x v="778"/>
    <x v="7"/>
    <x v="7"/>
    <n v="49"/>
    <n v="490"/>
    <x v="32"/>
    <x v="5"/>
    <d v="2025-02-03T00:00:00"/>
    <x v="3"/>
    <x v="3"/>
    <x v="3"/>
    <x v="2"/>
    <x v="1"/>
    <x v="0"/>
    <x v="6"/>
  </r>
  <r>
    <x v="779"/>
    <x v="0"/>
    <x v="1"/>
    <n v="33.700000000000003"/>
    <n v="67.400000000000006"/>
    <x v="32"/>
    <x v="5"/>
    <d v="2025-02-06T00:00:00"/>
    <x v="5"/>
    <x v="2"/>
    <x v="2"/>
    <x v="3"/>
    <x v="0"/>
    <x v="0"/>
    <x v="6"/>
  </r>
  <r>
    <x v="780"/>
    <x v="4"/>
    <x v="2"/>
    <n v="35.6"/>
    <n v="106.80000000000001"/>
    <x v="32"/>
    <x v="5"/>
    <d v="2025-02-05T00:00:00"/>
    <x v="2"/>
    <x v="2"/>
    <x v="2"/>
    <x v="0"/>
    <x v="2"/>
    <x v="0"/>
    <x v="6"/>
  </r>
  <r>
    <x v="781"/>
    <x v="4"/>
    <x v="36"/>
    <n v="30.4"/>
    <n v="1064"/>
    <x v="33"/>
    <x v="5"/>
    <d v="2025-02-03T00:00:00"/>
    <x v="7"/>
    <x v="2"/>
    <x v="2"/>
    <x v="0"/>
    <x v="1"/>
    <x v="0"/>
    <x v="7"/>
  </r>
  <r>
    <x v="782"/>
    <x v="10"/>
    <x v="4"/>
    <n v="50.2"/>
    <n v="602.40000000000009"/>
    <x v="33"/>
    <x v="5"/>
    <d v="2025-02-04T00:00:00"/>
    <x v="3"/>
    <x v="1"/>
    <x v="1"/>
    <x v="4"/>
    <x v="0"/>
    <x v="0"/>
    <x v="8"/>
  </r>
  <r>
    <x v="783"/>
    <x v="1"/>
    <x v="1"/>
    <n v="43.7"/>
    <n v="87.4"/>
    <x v="33"/>
    <x v="5"/>
    <d v="2025-02-05T00:00:00"/>
    <x v="1"/>
    <x v="2"/>
    <x v="2"/>
    <x v="0"/>
    <x v="0"/>
    <x v="0"/>
    <x v="8"/>
  </r>
  <r>
    <x v="784"/>
    <x v="10"/>
    <x v="0"/>
    <n v="33.299999999999997"/>
    <n v="33.299999999999997"/>
    <x v="33"/>
    <x v="5"/>
    <d v="2025-02-04T00:00:00"/>
    <x v="3"/>
    <x v="2"/>
    <x v="2"/>
    <x v="2"/>
    <x v="1"/>
    <x v="0"/>
    <x v="8"/>
  </r>
  <r>
    <x v="785"/>
    <x v="8"/>
    <x v="12"/>
    <n v="15.1"/>
    <n v="60.4"/>
    <x v="33"/>
    <x v="5"/>
    <d v="2025-02-05T00:00:00"/>
    <x v="1"/>
    <x v="2"/>
    <x v="2"/>
    <x v="4"/>
    <x v="2"/>
    <x v="0"/>
    <x v="8"/>
  </r>
  <r>
    <x v="786"/>
    <x v="6"/>
    <x v="9"/>
    <n v="118.2"/>
    <n v="591"/>
    <x v="33"/>
    <x v="5"/>
    <d v="2025-02-04T00:00:00"/>
    <x v="3"/>
    <x v="2"/>
    <x v="2"/>
    <x v="3"/>
    <x v="4"/>
    <x v="0"/>
    <x v="8"/>
  </r>
  <r>
    <x v="787"/>
    <x v="10"/>
    <x v="2"/>
    <n v="28.9"/>
    <n v="86.699999999999989"/>
    <x v="33"/>
    <x v="5"/>
    <d v="2025-02-05T00:00:00"/>
    <x v="1"/>
    <x v="2"/>
    <x v="2"/>
    <x v="2"/>
    <x v="1"/>
    <x v="0"/>
    <x v="8"/>
  </r>
  <r>
    <x v="788"/>
    <x v="4"/>
    <x v="2"/>
    <n v="55.6"/>
    <n v="166.8"/>
    <x v="33"/>
    <x v="5"/>
    <d v="2025-02-04T00:00:00"/>
    <x v="3"/>
    <x v="1"/>
    <x v="1"/>
    <x v="0"/>
    <x v="1"/>
    <x v="0"/>
    <x v="8"/>
  </r>
  <r>
    <x v="789"/>
    <x v="9"/>
    <x v="12"/>
    <n v="25.6"/>
    <n v="102.4"/>
    <x v="33"/>
    <x v="5"/>
    <d v="2025-02-05T00:00:00"/>
    <x v="1"/>
    <x v="2"/>
    <x v="2"/>
    <x v="0"/>
    <x v="1"/>
    <x v="0"/>
    <x v="8"/>
  </r>
  <r>
    <x v="790"/>
    <x v="7"/>
    <x v="2"/>
    <n v="31.3"/>
    <n v="93.9"/>
    <x v="33"/>
    <x v="5"/>
    <d v="2025-02-04T00:00:00"/>
    <x v="3"/>
    <x v="1"/>
    <x v="1"/>
    <x v="0"/>
    <x v="0"/>
    <x v="0"/>
    <x v="17"/>
  </r>
  <r>
    <x v="791"/>
    <x v="0"/>
    <x v="2"/>
    <n v="22.1"/>
    <n v="66.300000000000011"/>
    <x v="33"/>
    <x v="5"/>
    <d v="2025-02-07T00:00:00"/>
    <x v="5"/>
    <x v="1"/>
    <x v="1"/>
    <x v="0"/>
    <x v="0"/>
    <x v="0"/>
    <x v="17"/>
  </r>
  <r>
    <x v="792"/>
    <x v="2"/>
    <x v="21"/>
    <n v="99.4"/>
    <n v="1391.6000000000001"/>
    <x v="33"/>
    <x v="5"/>
    <d v="2025-02-04T00:00:00"/>
    <x v="3"/>
    <x v="1"/>
    <x v="1"/>
    <x v="1"/>
    <x v="0"/>
    <x v="0"/>
    <x v="11"/>
  </r>
  <r>
    <x v="793"/>
    <x v="7"/>
    <x v="13"/>
    <n v="66.599999999999994"/>
    <n v="399.59999999999997"/>
    <x v="33"/>
    <x v="5"/>
    <d v="2025-02-04T00:00:00"/>
    <x v="3"/>
    <x v="2"/>
    <x v="2"/>
    <x v="0"/>
    <x v="0"/>
    <x v="0"/>
    <x v="11"/>
  </r>
  <r>
    <x v="794"/>
    <x v="8"/>
    <x v="1"/>
    <n v="22.6"/>
    <n v="45.2"/>
    <x v="33"/>
    <x v="5"/>
    <d v="2025-02-06T00:00:00"/>
    <x v="2"/>
    <x v="1"/>
    <x v="1"/>
    <x v="0"/>
    <x v="0"/>
    <x v="0"/>
    <x v="11"/>
  </r>
  <r>
    <x v="795"/>
    <x v="2"/>
    <x v="16"/>
    <n v="66.8"/>
    <n v="1202.3999999999999"/>
    <x v="33"/>
    <x v="5"/>
    <d v="2025-02-04T00:00:00"/>
    <x v="3"/>
    <x v="2"/>
    <x v="2"/>
    <x v="0"/>
    <x v="4"/>
    <x v="0"/>
    <x v="13"/>
  </r>
  <r>
    <x v="796"/>
    <x v="0"/>
    <x v="12"/>
    <n v="20.8"/>
    <n v="83.2"/>
    <x v="33"/>
    <x v="5"/>
    <d v="2025-02-10T00:00:00"/>
    <x v="6"/>
    <x v="1"/>
    <x v="1"/>
    <x v="1"/>
    <x v="4"/>
    <x v="0"/>
    <x v="1"/>
  </r>
  <r>
    <x v="797"/>
    <x v="2"/>
    <x v="3"/>
    <n v="102.5"/>
    <n v="717.5"/>
    <x v="33"/>
    <x v="5"/>
    <d v="2025-02-04T00:00:00"/>
    <x v="3"/>
    <x v="2"/>
    <x v="2"/>
    <x v="4"/>
    <x v="2"/>
    <x v="0"/>
    <x v="3"/>
  </r>
  <r>
    <x v="798"/>
    <x v="0"/>
    <x v="16"/>
    <n v="24.8"/>
    <n v="446.40000000000003"/>
    <x v="33"/>
    <x v="5"/>
    <d v="2025-02-07T00:00:00"/>
    <x v="5"/>
    <x v="2"/>
    <x v="2"/>
    <x v="0"/>
    <x v="0"/>
    <x v="0"/>
    <x v="3"/>
  </r>
  <r>
    <x v="799"/>
    <x v="4"/>
    <x v="37"/>
    <n v="31.4"/>
    <n v="973.4"/>
    <x v="33"/>
    <x v="5"/>
    <d v="2025-02-04T00:00:00"/>
    <x v="3"/>
    <x v="2"/>
    <x v="2"/>
    <x v="3"/>
    <x v="0"/>
    <x v="0"/>
    <x v="3"/>
  </r>
  <r>
    <x v="800"/>
    <x v="9"/>
    <x v="9"/>
    <n v="59.3"/>
    <n v="296.5"/>
    <x v="33"/>
    <x v="5"/>
    <d v="2025-02-06T00:00:00"/>
    <x v="2"/>
    <x v="1"/>
    <x v="1"/>
    <x v="1"/>
    <x v="2"/>
    <x v="0"/>
    <x v="43"/>
  </r>
  <r>
    <x v="801"/>
    <x v="11"/>
    <x v="13"/>
    <n v="39"/>
    <n v="234"/>
    <x v="33"/>
    <x v="5"/>
    <d v="2025-02-06T00:00:00"/>
    <x v="2"/>
    <x v="1"/>
    <x v="1"/>
    <x v="1"/>
    <x v="0"/>
    <x v="0"/>
    <x v="6"/>
  </r>
  <r>
    <x v="802"/>
    <x v="5"/>
    <x v="13"/>
    <n v="98.6"/>
    <n v="591.59999999999991"/>
    <x v="33"/>
    <x v="5"/>
    <d v="2025-02-05T00:00:00"/>
    <x v="1"/>
    <x v="2"/>
    <x v="2"/>
    <x v="1"/>
    <x v="0"/>
    <x v="0"/>
    <x v="6"/>
  </r>
  <r>
    <x v="803"/>
    <x v="8"/>
    <x v="0"/>
    <n v="20"/>
    <n v="20"/>
    <x v="34"/>
    <x v="5"/>
    <d v="2025-02-05T00:00:00"/>
    <x v="3"/>
    <x v="1"/>
    <x v="1"/>
    <x v="3"/>
    <x v="2"/>
    <x v="0"/>
    <x v="8"/>
  </r>
  <r>
    <x v="804"/>
    <x v="1"/>
    <x v="1"/>
    <n v="42.9"/>
    <n v="85.8"/>
    <x v="34"/>
    <x v="5"/>
    <d v="2025-02-06T00:00:00"/>
    <x v="1"/>
    <x v="2"/>
    <x v="2"/>
    <x v="0"/>
    <x v="2"/>
    <x v="0"/>
    <x v="8"/>
  </r>
  <r>
    <x v="805"/>
    <x v="7"/>
    <x v="3"/>
    <n v="55.6"/>
    <n v="389.2"/>
    <x v="34"/>
    <x v="5"/>
    <d v="2025-02-06T00:00:00"/>
    <x v="1"/>
    <x v="2"/>
    <x v="2"/>
    <x v="2"/>
    <x v="1"/>
    <x v="0"/>
    <x v="8"/>
  </r>
  <r>
    <x v="806"/>
    <x v="8"/>
    <x v="12"/>
    <n v="19.2"/>
    <n v="76.8"/>
    <x v="34"/>
    <x v="5"/>
    <d v="2025-02-09T00:00:00"/>
    <x v="0"/>
    <x v="2"/>
    <x v="2"/>
    <x v="0"/>
    <x v="0"/>
    <x v="0"/>
    <x v="41"/>
  </r>
  <r>
    <x v="807"/>
    <x v="5"/>
    <x v="1"/>
    <n v="28.8"/>
    <n v="57.6"/>
    <x v="34"/>
    <x v="5"/>
    <d v="2025-02-06T00:00:00"/>
    <x v="1"/>
    <x v="1"/>
    <x v="1"/>
    <x v="1"/>
    <x v="0"/>
    <x v="0"/>
    <x v="18"/>
  </r>
  <r>
    <x v="808"/>
    <x v="4"/>
    <x v="0"/>
    <n v="29.7"/>
    <n v="29.7"/>
    <x v="34"/>
    <x v="5"/>
    <d v="2025-02-06T00:00:00"/>
    <x v="1"/>
    <x v="2"/>
    <x v="2"/>
    <x v="2"/>
    <x v="4"/>
    <x v="0"/>
    <x v="20"/>
  </r>
  <r>
    <x v="809"/>
    <x v="6"/>
    <x v="13"/>
    <n v="63.3"/>
    <n v="379.79999999999995"/>
    <x v="34"/>
    <x v="5"/>
    <d v="2025-02-05T00:00:00"/>
    <x v="3"/>
    <x v="0"/>
    <x v="0"/>
    <x v="0"/>
    <x v="2"/>
    <x v="0"/>
    <x v="21"/>
  </r>
  <r>
    <x v="810"/>
    <x v="4"/>
    <x v="0"/>
    <n v="46"/>
    <n v="46"/>
    <x v="34"/>
    <x v="5"/>
    <d v="2025-02-05T00:00:00"/>
    <x v="3"/>
    <x v="2"/>
    <x v="2"/>
    <x v="0"/>
    <x v="2"/>
    <x v="0"/>
    <x v="21"/>
  </r>
  <r>
    <x v="811"/>
    <x v="11"/>
    <x v="2"/>
    <n v="38"/>
    <n v="114"/>
    <x v="34"/>
    <x v="5"/>
    <d v="2025-02-06T00:00:00"/>
    <x v="1"/>
    <x v="2"/>
    <x v="2"/>
    <x v="1"/>
    <x v="2"/>
    <x v="0"/>
    <x v="21"/>
  </r>
  <r>
    <x v="812"/>
    <x v="10"/>
    <x v="15"/>
    <n v="34.6"/>
    <n v="449.8"/>
    <x v="34"/>
    <x v="5"/>
    <d v="2025-02-06T00:00:00"/>
    <x v="1"/>
    <x v="2"/>
    <x v="2"/>
    <x v="0"/>
    <x v="1"/>
    <x v="0"/>
    <x v="21"/>
  </r>
  <r>
    <x v="813"/>
    <x v="3"/>
    <x v="7"/>
    <n v="79.7"/>
    <n v="797"/>
    <x v="34"/>
    <x v="5"/>
    <d v="2025-02-05T00:00:00"/>
    <x v="3"/>
    <x v="2"/>
    <x v="2"/>
    <x v="4"/>
    <x v="1"/>
    <x v="0"/>
    <x v="21"/>
  </r>
  <r>
    <x v="814"/>
    <x v="8"/>
    <x v="8"/>
    <n v="30.5"/>
    <n v="244"/>
    <x v="34"/>
    <x v="5"/>
    <d v="2025-02-08T00:00:00"/>
    <x v="5"/>
    <x v="1"/>
    <x v="1"/>
    <x v="3"/>
    <x v="0"/>
    <x v="0"/>
    <x v="1"/>
  </r>
  <r>
    <x v="815"/>
    <x v="0"/>
    <x v="1"/>
    <n v="20.8"/>
    <n v="41.6"/>
    <x v="34"/>
    <x v="5"/>
    <d v="2025-02-05T00:00:00"/>
    <x v="3"/>
    <x v="2"/>
    <x v="2"/>
    <x v="0"/>
    <x v="0"/>
    <x v="0"/>
    <x v="2"/>
  </r>
  <r>
    <x v="816"/>
    <x v="11"/>
    <x v="3"/>
    <n v="48.5"/>
    <n v="339.5"/>
    <x v="34"/>
    <x v="5"/>
    <d v="2025-02-08T00:00:00"/>
    <x v="5"/>
    <x v="2"/>
    <x v="2"/>
    <x v="2"/>
    <x v="2"/>
    <x v="0"/>
    <x v="2"/>
  </r>
  <r>
    <x v="817"/>
    <x v="2"/>
    <x v="12"/>
    <n v="61.8"/>
    <n v="247.2"/>
    <x v="34"/>
    <x v="5"/>
    <d v="2025-02-08T00:00:00"/>
    <x v="5"/>
    <x v="2"/>
    <x v="2"/>
    <x v="4"/>
    <x v="0"/>
    <x v="0"/>
    <x v="22"/>
  </r>
  <r>
    <x v="818"/>
    <x v="10"/>
    <x v="0"/>
    <n v="46.1"/>
    <n v="46.1"/>
    <x v="34"/>
    <x v="5"/>
    <d v="2025-02-05T00:00:00"/>
    <x v="3"/>
    <x v="3"/>
    <x v="3"/>
    <x v="2"/>
    <x v="0"/>
    <x v="0"/>
    <x v="3"/>
  </r>
  <r>
    <x v="819"/>
    <x v="4"/>
    <x v="13"/>
    <n v="44"/>
    <n v="264"/>
    <x v="34"/>
    <x v="5"/>
    <d v="2025-02-05T00:00:00"/>
    <x v="3"/>
    <x v="2"/>
    <x v="2"/>
    <x v="0"/>
    <x v="0"/>
    <x v="0"/>
    <x v="3"/>
  </r>
  <r>
    <x v="820"/>
    <x v="18"/>
    <x v="1"/>
    <n v="95.7"/>
    <n v="191.4"/>
    <x v="34"/>
    <x v="5"/>
    <d v="2025-02-10T00:00:00"/>
    <x v="4"/>
    <x v="2"/>
    <x v="2"/>
    <x v="3"/>
    <x v="2"/>
    <x v="0"/>
    <x v="3"/>
  </r>
  <r>
    <x v="821"/>
    <x v="7"/>
    <x v="9"/>
    <n v="46.4"/>
    <n v="232"/>
    <x v="34"/>
    <x v="5"/>
    <d v="2025-02-07T00:00:00"/>
    <x v="2"/>
    <x v="2"/>
    <x v="2"/>
    <x v="0"/>
    <x v="0"/>
    <x v="0"/>
    <x v="3"/>
  </r>
  <r>
    <x v="822"/>
    <x v="6"/>
    <x v="1"/>
    <n v="47.2"/>
    <n v="94.4"/>
    <x v="34"/>
    <x v="5"/>
    <d v="2025-02-06T00:00:00"/>
    <x v="1"/>
    <x v="2"/>
    <x v="2"/>
    <x v="0"/>
    <x v="2"/>
    <x v="0"/>
    <x v="3"/>
  </r>
  <r>
    <x v="823"/>
    <x v="7"/>
    <x v="1"/>
    <n v="58.6"/>
    <n v="117.2"/>
    <x v="34"/>
    <x v="5"/>
    <d v="2025-02-05T00:00:00"/>
    <x v="3"/>
    <x v="2"/>
    <x v="2"/>
    <x v="2"/>
    <x v="1"/>
    <x v="0"/>
    <x v="3"/>
  </r>
  <r>
    <x v="824"/>
    <x v="4"/>
    <x v="2"/>
    <n v="57"/>
    <n v="171"/>
    <x v="34"/>
    <x v="5"/>
    <d v="2025-02-05T00:00:00"/>
    <x v="3"/>
    <x v="1"/>
    <x v="1"/>
    <x v="0"/>
    <x v="2"/>
    <x v="0"/>
    <x v="3"/>
  </r>
  <r>
    <x v="825"/>
    <x v="8"/>
    <x v="12"/>
    <n v="28.9"/>
    <n v="115.6"/>
    <x v="34"/>
    <x v="5"/>
    <d v="2025-02-08T00:00:00"/>
    <x v="5"/>
    <x v="1"/>
    <x v="1"/>
    <x v="2"/>
    <x v="0"/>
    <x v="0"/>
    <x v="3"/>
  </r>
  <r>
    <x v="826"/>
    <x v="12"/>
    <x v="9"/>
    <n v="60.7"/>
    <n v="303.5"/>
    <x v="34"/>
    <x v="5"/>
    <d v="2025-02-08T00:00:00"/>
    <x v="5"/>
    <x v="0"/>
    <x v="0"/>
    <x v="1"/>
    <x v="1"/>
    <x v="0"/>
    <x v="3"/>
  </r>
  <r>
    <x v="827"/>
    <x v="6"/>
    <x v="9"/>
    <n v="60.8"/>
    <n v="304"/>
    <x v="34"/>
    <x v="5"/>
    <d v="2025-02-08T00:00:00"/>
    <x v="5"/>
    <x v="1"/>
    <x v="1"/>
    <x v="0"/>
    <x v="1"/>
    <x v="0"/>
    <x v="3"/>
  </r>
  <r>
    <x v="828"/>
    <x v="6"/>
    <x v="9"/>
    <n v="64.599999999999994"/>
    <n v="323"/>
    <x v="34"/>
    <x v="5"/>
    <d v="2025-02-05T00:00:00"/>
    <x v="3"/>
    <x v="2"/>
    <x v="2"/>
    <x v="3"/>
    <x v="0"/>
    <x v="0"/>
    <x v="3"/>
  </r>
  <r>
    <x v="829"/>
    <x v="8"/>
    <x v="0"/>
    <n v="21.9"/>
    <n v="21.9"/>
    <x v="34"/>
    <x v="5"/>
    <d v="2025-02-07T00:00:00"/>
    <x v="2"/>
    <x v="1"/>
    <x v="1"/>
    <x v="1"/>
    <x v="2"/>
    <x v="0"/>
    <x v="4"/>
  </r>
  <r>
    <x v="830"/>
    <x v="4"/>
    <x v="4"/>
    <n v="33.4"/>
    <n v="400.79999999999995"/>
    <x v="34"/>
    <x v="5"/>
    <d v="2025-02-06T00:00:00"/>
    <x v="1"/>
    <x v="2"/>
    <x v="2"/>
    <x v="0"/>
    <x v="0"/>
    <x v="0"/>
    <x v="23"/>
  </r>
  <r>
    <x v="831"/>
    <x v="2"/>
    <x v="0"/>
    <n v="51.7"/>
    <n v="51.7"/>
    <x v="34"/>
    <x v="5"/>
    <d v="2025-02-05T00:00:00"/>
    <x v="3"/>
    <x v="0"/>
    <x v="0"/>
    <x v="0"/>
    <x v="0"/>
    <x v="0"/>
    <x v="6"/>
  </r>
  <r>
    <x v="832"/>
    <x v="1"/>
    <x v="12"/>
    <n v="84.9"/>
    <n v="339.6"/>
    <x v="34"/>
    <x v="5"/>
    <d v="2025-02-05T00:00:00"/>
    <x v="3"/>
    <x v="2"/>
    <x v="2"/>
    <x v="1"/>
    <x v="1"/>
    <x v="0"/>
    <x v="6"/>
  </r>
  <r>
    <x v="833"/>
    <x v="1"/>
    <x v="5"/>
    <n v="62.3"/>
    <n v="685.3"/>
    <x v="34"/>
    <x v="5"/>
    <d v="2025-02-05T00:00:00"/>
    <x v="3"/>
    <x v="2"/>
    <x v="2"/>
    <x v="2"/>
    <x v="2"/>
    <x v="0"/>
    <x v="7"/>
  </r>
  <r>
    <x v="834"/>
    <x v="4"/>
    <x v="0"/>
    <n v="50.7"/>
    <n v="50.7"/>
    <x v="34"/>
    <x v="5"/>
    <d v="2025-02-06T00:00:00"/>
    <x v="1"/>
    <x v="1"/>
    <x v="1"/>
    <x v="2"/>
    <x v="2"/>
    <x v="0"/>
    <x v="8"/>
  </r>
  <r>
    <x v="835"/>
    <x v="18"/>
    <x v="0"/>
    <n v="39.5"/>
    <n v="39.5"/>
    <x v="34"/>
    <x v="5"/>
    <d v="2025-02-05T00:00:00"/>
    <x v="3"/>
    <x v="1"/>
    <x v="1"/>
    <x v="4"/>
    <x v="1"/>
    <x v="0"/>
    <x v="8"/>
  </r>
  <r>
    <x v="836"/>
    <x v="12"/>
    <x v="2"/>
    <n v="30.9"/>
    <n v="92.699999999999989"/>
    <x v="34"/>
    <x v="5"/>
    <d v="2025-02-05T00:00:00"/>
    <x v="3"/>
    <x v="0"/>
    <x v="0"/>
    <x v="4"/>
    <x v="2"/>
    <x v="0"/>
    <x v="8"/>
  </r>
  <r>
    <x v="837"/>
    <x v="1"/>
    <x v="3"/>
    <n v="36.4"/>
    <n v="254.79999999999998"/>
    <x v="34"/>
    <x v="5"/>
    <d v="2025-02-07T00:00:00"/>
    <x v="2"/>
    <x v="2"/>
    <x v="2"/>
    <x v="0"/>
    <x v="2"/>
    <x v="0"/>
    <x v="8"/>
  </r>
  <r>
    <x v="838"/>
    <x v="6"/>
    <x v="8"/>
    <n v="105.6"/>
    <n v="844.8"/>
    <x v="34"/>
    <x v="5"/>
    <d v="2025-02-14T00:00:00"/>
    <x v="14"/>
    <x v="2"/>
    <x v="2"/>
    <x v="0"/>
    <x v="0"/>
    <x v="0"/>
    <x v="8"/>
  </r>
  <r>
    <x v="839"/>
    <x v="8"/>
    <x v="1"/>
    <n v="22.1"/>
    <n v="44.2"/>
    <x v="34"/>
    <x v="5"/>
    <d v="2025-02-05T00:00:00"/>
    <x v="3"/>
    <x v="2"/>
    <x v="2"/>
    <x v="0"/>
    <x v="2"/>
    <x v="0"/>
    <x v="17"/>
  </r>
  <r>
    <x v="840"/>
    <x v="0"/>
    <x v="2"/>
    <n v="22.6"/>
    <n v="67.800000000000011"/>
    <x v="34"/>
    <x v="5"/>
    <d v="2025-02-05T00:00:00"/>
    <x v="3"/>
    <x v="2"/>
    <x v="2"/>
    <x v="2"/>
    <x v="0"/>
    <x v="0"/>
    <x v="17"/>
  </r>
  <r>
    <x v="841"/>
    <x v="10"/>
    <x v="13"/>
    <n v="26.3"/>
    <n v="157.80000000000001"/>
    <x v="34"/>
    <x v="5"/>
    <d v="2025-02-04T00:00:00"/>
    <x v="7"/>
    <x v="2"/>
    <x v="2"/>
    <x v="2"/>
    <x v="0"/>
    <x v="0"/>
    <x v="9"/>
  </r>
  <r>
    <x v="842"/>
    <x v="1"/>
    <x v="12"/>
    <n v="37.799999999999997"/>
    <n v="151.19999999999999"/>
    <x v="34"/>
    <x v="5"/>
    <d v="2025-02-05T00:00:00"/>
    <x v="3"/>
    <x v="2"/>
    <x v="2"/>
    <x v="0"/>
    <x v="2"/>
    <x v="0"/>
    <x v="11"/>
  </r>
  <r>
    <x v="843"/>
    <x v="6"/>
    <x v="14"/>
    <n v="96"/>
    <n v="1632"/>
    <x v="34"/>
    <x v="5"/>
    <d v="2025-02-07T00:00:00"/>
    <x v="2"/>
    <x v="2"/>
    <x v="2"/>
    <x v="4"/>
    <x v="1"/>
    <x v="0"/>
    <x v="18"/>
  </r>
  <r>
    <x v="844"/>
    <x v="1"/>
    <x v="0"/>
    <n v="83.6"/>
    <n v="83.6"/>
    <x v="34"/>
    <x v="5"/>
    <d v="2025-02-07T00:00:00"/>
    <x v="2"/>
    <x v="2"/>
    <x v="2"/>
    <x v="2"/>
    <x v="1"/>
    <x v="0"/>
    <x v="19"/>
  </r>
  <r>
    <x v="845"/>
    <x v="2"/>
    <x v="13"/>
    <n v="72.599999999999994"/>
    <n v="435.59999999999997"/>
    <x v="34"/>
    <x v="5"/>
    <d v="2025-02-05T00:00:00"/>
    <x v="3"/>
    <x v="2"/>
    <x v="2"/>
    <x v="0"/>
    <x v="0"/>
    <x v="0"/>
    <x v="21"/>
  </r>
  <r>
    <x v="846"/>
    <x v="5"/>
    <x v="28"/>
    <n v="69.099999999999994"/>
    <n v="1382"/>
    <x v="35"/>
    <x v="5"/>
    <d v="2025-02-11T00:00:00"/>
    <x v="4"/>
    <x v="1"/>
    <x v="1"/>
    <x v="0"/>
    <x v="2"/>
    <x v="0"/>
    <x v="21"/>
  </r>
  <r>
    <x v="847"/>
    <x v="4"/>
    <x v="1"/>
    <n v="22.6"/>
    <n v="45.2"/>
    <x v="35"/>
    <x v="5"/>
    <d v="2025-02-07T00:00:00"/>
    <x v="1"/>
    <x v="2"/>
    <x v="2"/>
    <x v="1"/>
    <x v="2"/>
    <x v="0"/>
    <x v="21"/>
  </r>
  <r>
    <x v="848"/>
    <x v="6"/>
    <x v="1"/>
    <n v="45.3"/>
    <n v="90.6"/>
    <x v="35"/>
    <x v="5"/>
    <d v="2025-02-09T00:00:00"/>
    <x v="5"/>
    <x v="1"/>
    <x v="1"/>
    <x v="4"/>
    <x v="2"/>
    <x v="0"/>
    <x v="21"/>
  </r>
  <r>
    <x v="849"/>
    <x v="2"/>
    <x v="1"/>
    <n v="115.1"/>
    <n v="230.2"/>
    <x v="35"/>
    <x v="5"/>
    <d v="2025-02-06T00:00:00"/>
    <x v="3"/>
    <x v="2"/>
    <x v="2"/>
    <x v="1"/>
    <x v="0"/>
    <x v="0"/>
    <x v="1"/>
  </r>
  <r>
    <x v="850"/>
    <x v="18"/>
    <x v="12"/>
    <n v="79"/>
    <n v="316"/>
    <x v="35"/>
    <x v="5"/>
    <d v="2025-02-07T00:00:00"/>
    <x v="1"/>
    <x v="1"/>
    <x v="1"/>
    <x v="2"/>
    <x v="4"/>
    <x v="0"/>
    <x v="1"/>
  </r>
  <r>
    <x v="851"/>
    <x v="6"/>
    <x v="9"/>
    <n v="52.8"/>
    <n v="264"/>
    <x v="35"/>
    <x v="5"/>
    <d v="2025-02-06T00:00:00"/>
    <x v="3"/>
    <x v="2"/>
    <x v="2"/>
    <x v="0"/>
    <x v="0"/>
    <x v="0"/>
    <x v="42"/>
  </r>
  <r>
    <x v="852"/>
    <x v="8"/>
    <x v="1"/>
    <n v="34.1"/>
    <n v="68.2"/>
    <x v="35"/>
    <x v="5"/>
    <d v="2025-02-06T00:00:00"/>
    <x v="3"/>
    <x v="1"/>
    <x v="1"/>
    <x v="3"/>
    <x v="2"/>
    <x v="0"/>
    <x v="44"/>
  </r>
  <r>
    <x v="853"/>
    <x v="6"/>
    <x v="9"/>
    <n v="107.9"/>
    <n v="539.5"/>
    <x v="35"/>
    <x v="5"/>
    <d v="2025-02-05T00:00:00"/>
    <x v="7"/>
    <x v="2"/>
    <x v="2"/>
    <x v="0"/>
    <x v="2"/>
    <x v="0"/>
    <x v="50"/>
  </r>
  <r>
    <x v="854"/>
    <x v="8"/>
    <x v="15"/>
    <n v="48.5"/>
    <n v="630.5"/>
    <x v="35"/>
    <x v="5"/>
    <d v="2025-02-05T00:00:00"/>
    <x v="7"/>
    <x v="1"/>
    <x v="1"/>
    <x v="2"/>
    <x v="2"/>
    <x v="0"/>
    <x v="3"/>
  </r>
  <r>
    <x v="855"/>
    <x v="5"/>
    <x v="2"/>
    <n v="34.700000000000003"/>
    <n v="104.10000000000001"/>
    <x v="35"/>
    <x v="5"/>
    <d v="2025-02-06T00:00:00"/>
    <x v="3"/>
    <x v="0"/>
    <x v="0"/>
    <x v="4"/>
    <x v="1"/>
    <x v="0"/>
    <x v="3"/>
  </r>
  <r>
    <x v="856"/>
    <x v="8"/>
    <x v="0"/>
    <n v="16.8"/>
    <n v="16.8"/>
    <x v="35"/>
    <x v="5"/>
    <d v="2025-02-07T00:00:00"/>
    <x v="1"/>
    <x v="2"/>
    <x v="2"/>
    <x v="3"/>
    <x v="0"/>
    <x v="0"/>
    <x v="3"/>
  </r>
  <r>
    <x v="857"/>
    <x v="8"/>
    <x v="13"/>
    <n v="18.3"/>
    <n v="109.80000000000001"/>
    <x v="35"/>
    <x v="5"/>
    <d v="2025-02-08T00:00:00"/>
    <x v="2"/>
    <x v="2"/>
    <x v="2"/>
    <x v="0"/>
    <x v="0"/>
    <x v="0"/>
    <x v="3"/>
  </r>
  <r>
    <x v="858"/>
    <x v="18"/>
    <x v="2"/>
    <n v="55.9"/>
    <n v="167.7"/>
    <x v="35"/>
    <x v="5"/>
    <d v="2025-02-11T00:00:00"/>
    <x v="4"/>
    <x v="1"/>
    <x v="1"/>
    <x v="3"/>
    <x v="1"/>
    <x v="0"/>
    <x v="3"/>
  </r>
  <r>
    <x v="859"/>
    <x v="8"/>
    <x v="2"/>
    <n v="39.200000000000003"/>
    <n v="117.60000000000001"/>
    <x v="35"/>
    <x v="5"/>
    <d v="2025-02-07T00:00:00"/>
    <x v="1"/>
    <x v="2"/>
    <x v="2"/>
    <x v="0"/>
    <x v="1"/>
    <x v="0"/>
    <x v="3"/>
  </r>
  <r>
    <x v="860"/>
    <x v="15"/>
    <x v="12"/>
    <n v="66.5"/>
    <n v="266"/>
    <x v="35"/>
    <x v="5"/>
    <d v="2025-02-07T00:00:00"/>
    <x v="1"/>
    <x v="0"/>
    <x v="0"/>
    <x v="3"/>
    <x v="1"/>
    <x v="0"/>
    <x v="3"/>
  </r>
  <r>
    <x v="861"/>
    <x v="6"/>
    <x v="13"/>
    <n v="52.1"/>
    <n v="312.60000000000002"/>
    <x v="35"/>
    <x v="5"/>
    <d v="2025-02-07T00:00:00"/>
    <x v="1"/>
    <x v="1"/>
    <x v="1"/>
    <x v="1"/>
    <x v="1"/>
    <x v="0"/>
    <x v="16"/>
  </r>
  <r>
    <x v="862"/>
    <x v="8"/>
    <x v="1"/>
    <n v="19"/>
    <n v="38"/>
    <x v="35"/>
    <x v="5"/>
    <d v="2025-02-06T00:00:00"/>
    <x v="3"/>
    <x v="1"/>
    <x v="1"/>
    <x v="4"/>
    <x v="2"/>
    <x v="0"/>
    <x v="6"/>
  </r>
  <r>
    <x v="863"/>
    <x v="7"/>
    <x v="2"/>
    <n v="84.8"/>
    <n v="254.39999999999998"/>
    <x v="35"/>
    <x v="5"/>
    <d v="2025-02-07T00:00:00"/>
    <x v="1"/>
    <x v="2"/>
    <x v="2"/>
    <x v="2"/>
    <x v="0"/>
    <x v="0"/>
    <x v="8"/>
  </r>
  <r>
    <x v="864"/>
    <x v="2"/>
    <x v="12"/>
    <n v="63.9"/>
    <n v="255.6"/>
    <x v="35"/>
    <x v="5"/>
    <d v="2025-02-08T00:00:00"/>
    <x v="2"/>
    <x v="2"/>
    <x v="2"/>
    <x v="0"/>
    <x v="0"/>
    <x v="0"/>
    <x v="8"/>
  </r>
  <r>
    <x v="865"/>
    <x v="2"/>
    <x v="2"/>
    <n v="65.5"/>
    <n v="196.5"/>
    <x v="35"/>
    <x v="5"/>
    <d v="2025-02-05T00:00:00"/>
    <x v="7"/>
    <x v="2"/>
    <x v="2"/>
    <x v="1"/>
    <x v="1"/>
    <x v="0"/>
    <x v="8"/>
  </r>
  <r>
    <x v="866"/>
    <x v="12"/>
    <x v="1"/>
    <n v="116.2"/>
    <n v="232.4"/>
    <x v="35"/>
    <x v="5"/>
    <d v="2025-02-11T00:00:00"/>
    <x v="4"/>
    <x v="1"/>
    <x v="1"/>
    <x v="3"/>
    <x v="0"/>
    <x v="0"/>
    <x v="17"/>
  </r>
  <r>
    <x v="867"/>
    <x v="10"/>
    <x v="12"/>
    <n v="22.9"/>
    <n v="91.6"/>
    <x v="35"/>
    <x v="5"/>
    <d v="2025-02-07T00:00:00"/>
    <x v="1"/>
    <x v="2"/>
    <x v="2"/>
    <x v="2"/>
    <x v="1"/>
    <x v="0"/>
    <x v="38"/>
  </r>
  <r>
    <x v="868"/>
    <x v="10"/>
    <x v="2"/>
    <n v="53.7"/>
    <n v="161.10000000000002"/>
    <x v="35"/>
    <x v="5"/>
    <d v="2025-02-06T00:00:00"/>
    <x v="3"/>
    <x v="1"/>
    <x v="1"/>
    <x v="0"/>
    <x v="4"/>
    <x v="0"/>
    <x v="18"/>
  </r>
  <r>
    <x v="869"/>
    <x v="6"/>
    <x v="9"/>
    <n v="43.2"/>
    <n v="216"/>
    <x v="35"/>
    <x v="5"/>
    <d v="2025-02-07T00:00:00"/>
    <x v="1"/>
    <x v="2"/>
    <x v="2"/>
    <x v="0"/>
    <x v="0"/>
    <x v="0"/>
    <x v="19"/>
  </r>
  <r>
    <x v="870"/>
    <x v="1"/>
    <x v="2"/>
    <n v="84.5"/>
    <n v="253.5"/>
    <x v="35"/>
    <x v="5"/>
    <d v="2025-02-07T00:00:00"/>
    <x v="1"/>
    <x v="1"/>
    <x v="1"/>
    <x v="2"/>
    <x v="2"/>
    <x v="0"/>
    <x v="51"/>
  </r>
  <r>
    <x v="871"/>
    <x v="3"/>
    <x v="1"/>
    <n v="42.2"/>
    <n v="84.4"/>
    <x v="35"/>
    <x v="5"/>
    <d v="2025-02-06T00:00:00"/>
    <x v="3"/>
    <x v="2"/>
    <x v="2"/>
    <x v="1"/>
    <x v="2"/>
    <x v="0"/>
    <x v="1"/>
  </r>
  <r>
    <x v="872"/>
    <x v="2"/>
    <x v="13"/>
    <n v="94.7"/>
    <n v="568.20000000000005"/>
    <x v="35"/>
    <x v="5"/>
    <d v="2025-02-08T00:00:00"/>
    <x v="2"/>
    <x v="2"/>
    <x v="2"/>
    <x v="1"/>
    <x v="2"/>
    <x v="0"/>
    <x v="2"/>
  </r>
  <r>
    <x v="873"/>
    <x v="8"/>
    <x v="16"/>
    <n v="16.7"/>
    <n v="300.59999999999997"/>
    <x v="35"/>
    <x v="5"/>
    <d v="2025-02-17T00:00:00"/>
    <x v="13"/>
    <x v="2"/>
    <x v="2"/>
    <x v="0"/>
    <x v="2"/>
    <x v="0"/>
    <x v="2"/>
  </r>
  <r>
    <x v="874"/>
    <x v="2"/>
    <x v="1"/>
    <n v="83.6"/>
    <n v="167.2"/>
    <x v="35"/>
    <x v="5"/>
    <d v="2025-02-11T00:00:00"/>
    <x v="4"/>
    <x v="2"/>
    <x v="2"/>
    <x v="1"/>
    <x v="0"/>
    <x v="0"/>
    <x v="3"/>
  </r>
  <r>
    <x v="875"/>
    <x v="7"/>
    <x v="13"/>
    <n v="33.6"/>
    <n v="201.60000000000002"/>
    <x v="36"/>
    <x v="5"/>
    <d v="2025-02-07T00:00:00"/>
    <x v="3"/>
    <x v="2"/>
    <x v="2"/>
    <x v="3"/>
    <x v="0"/>
    <x v="0"/>
    <x v="3"/>
  </r>
  <r>
    <x v="876"/>
    <x v="7"/>
    <x v="1"/>
    <n v="64.7"/>
    <n v="129.4"/>
    <x v="36"/>
    <x v="5"/>
    <d v="2025-02-08T00:00:00"/>
    <x v="1"/>
    <x v="1"/>
    <x v="1"/>
    <x v="1"/>
    <x v="2"/>
    <x v="0"/>
    <x v="3"/>
  </r>
  <r>
    <x v="877"/>
    <x v="0"/>
    <x v="2"/>
    <n v="15.7"/>
    <n v="47.099999999999994"/>
    <x v="36"/>
    <x v="5"/>
    <d v="2025-02-12T00:00:00"/>
    <x v="4"/>
    <x v="2"/>
    <x v="2"/>
    <x v="0"/>
    <x v="0"/>
    <x v="0"/>
    <x v="3"/>
  </r>
  <r>
    <x v="878"/>
    <x v="15"/>
    <x v="13"/>
    <n v="49.4"/>
    <n v="296.39999999999998"/>
    <x v="36"/>
    <x v="5"/>
    <d v="2025-02-06T00:00:00"/>
    <x v="7"/>
    <x v="1"/>
    <x v="1"/>
    <x v="1"/>
    <x v="0"/>
    <x v="0"/>
    <x v="3"/>
  </r>
  <r>
    <x v="879"/>
    <x v="10"/>
    <x v="13"/>
    <n v="37"/>
    <n v="222"/>
    <x v="36"/>
    <x v="5"/>
    <d v="2025-02-09T00:00:00"/>
    <x v="2"/>
    <x v="2"/>
    <x v="2"/>
    <x v="1"/>
    <x v="2"/>
    <x v="0"/>
    <x v="3"/>
  </r>
  <r>
    <x v="880"/>
    <x v="2"/>
    <x v="1"/>
    <n v="83.7"/>
    <n v="167.4"/>
    <x v="36"/>
    <x v="5"/>
    <d v="2025-02-08T00:00:00"/>
    <x v="1"/>
    <x v="2"/>
    <x v="2"/>
    <x v="3"/>
    <x v="2"/>
    <x v="0"/>
    <x v="3"/>
  </r>
  <r>
    <x v="881"/>
    <x v="1"/>
    <x v="9"/>
    <n v="35.1"/>
    <n v="175.5"/>
    <x v="36"/>
    <x v="5"/>
    <d v="2025-02-07T00:00:00"/>
    <x v="3"/>
    <x v="2"/>
    <x v="2"/>
    <x v="0"/>
    <x v="0"/>
    <x v="0"/>
    <x v="3"/>
  </r>
  <r>
    <x v="882"/>
    <x v="16"/>
    <x v="8"/>
    <n v="74"/>
    <n v="592"/>
    <x v="36"/>
    <x v="5"/>
    <d v="2025-02-07T00:00:00"/>
    <x v="3"/>
    <x v="2"/>
    <x v="2"/>
    <x v="4"/>
    <x v="0"/>
    <x v="0"/>
    <x v="37"/>
  </r>
  <r>
    <x v="883"/>
    <x v="6"/>
    <x v="25"/>
    <n v="55.5"/>
    <n v="1332"/>
    <x v="36"/>
    <x v="5"/>
    <d v="2025-02-09T00:00:00"/>
    <x v="2"/>
    <x v="1"/>
    <x v="1"/>
    <x v="3"/>
    <x v="0"/>
    <x v="0"/>
    <x v="49"/>
  </r>
  <r>
    <x v="884"/>
    <x v="11"/>
    <x v="1"/>
    <n v="38.9"/>
    <n v="77.8"/>
    <x v="36"/>
    <x v="5"/>
    <d v="2025-02-08T00:00:00"/>
    <x v="1"/>
    <x v="2"/>
    <x v="2"/>
    <x v="1"/>
    <x v="2"/>
    <x v="0"/>
    <x v="25"/>
  </r>
  <r>
    <x v="885"/>
    <x v="16"/>
    <x v="1"/>
    <n v="64.599999999999994"/>
    <n v="129.19999999999999"/>
    <x v="36"/>
    <x v="5"/>
    <d v="2025-02-13T00:00:00"/>
    <x v="6"/>
    <x v="1"/>
    <x v="1"/>
    <x v="2"/>
    <x v="1"/>
    <x v="0"/>
    <x v="25"/>
  </r>
  <r>
    <x v="886"/>
    <x v="2"/>
    <x v="2"/>
    <n v="95.3"/>
    <n v="285.89999999999998"/>
    <x v="36"/>
    <x v="5"/>
    <d v="2025-02-07T00:00:00"/>
    <x v="3"/>
    <x v="1"/>
    <x v="1"/>
    <x v="0"/>
    <x v="0"/>
    <x v="0"/>
    <x v="5"/>
  </r>
  <r>
    <x v="887"/>
    <x v="13"/>
    <x v="2"/>
    <n v="25.8"/>
    <n v="77.400000000000006"/>
    <x v="36"/>
    <x v="5"/>
    <d v="2025-02-07T00:00:00"/>
    <x v="3"/>
    <x v="2"/>
    <x v="2"/>
    <x v="1"/>
    <x v="1"/>
    <x v="0"/>
    <x v="6"/>
  </r>
  <r>
    <x v="888"/>
    <x v="0"/>
    <x v="1"/>
    <n v="11.6"/>
    <n v="23.2"/>
    <x v="36"/>
    <x v="5"/>
    <d v="2025-02-10T00:00:00"/>
    <x v="5"/>
    <x v="2"/>
    <x v="2"/>
    <x v="1"/>
    <x v="1"/>
    <x v="0"/>
    <x v="6"/>
  </r>
  <r>
    <x v="889"/>
    <x v="7"/>
    <x v="0"/>
    <n v="52.3"/>
    <n v="52.3"/>
    <x v="36"/>
    <x v="5"/>
    <d v="2025-02-07T00:00:00"/>
    <x v="3"/>
    <x v="2"/>
    <x v="2"/>
    <x v="1"/>
    <x v="0"/>
    <x v="0"/>
    <x v="8"/>
  </r>
  <r>
    <x v="890"/>
    <x v="2"/>
    <x v="7"/>
    <n v="112.2"/>
    <n v="1122"/>
    <x v="36"/>
    <x v="5"/>
    <d v="2025-02-07T00:00:00"/>
    <x v="3"/>
    <x v="2"/>
    <x v="2"/>
    <x v="1"/>
    <x v="1"/>
    <x v="0"/>
    <x v="8"/>
  </r>
  <r>
    <x v="891"/>
    <x v="4"/>
    <x v="9"/>
    <n v="34.6"/>
    <n v="173"/>
    <x v="36"/>
    <x v="5"/>
    <d v="2025-02-08T00:00:00"/>
    <x v="1"/>
    <x v="1"/>
    <x v="1"/>
    <x v="2"/>
    <x v="0"/>
    <x v="0"/>
    <x v="8"/>
  </r>
  <r>
    <x v="892"/>
    <x v="14"/>
    <x v="12"/>
    <n v="20.100000000000001"/>
    <n v="80.400000000000006"/>
    <x v="36"/>
    <x v="5"/>
    <d v="2025-02-12T00:00:00"/>
    <x v="4"/>
    <x v="1"/>
    <x v="1"/>
    <x v="1"/>
    <x v="2"/>
    <x v="0"/>
    <x v="8"/>
  </r>
  <r>
    <x v="893"/>
    <x v="2"/>
    <x v="12"/>
    <n v="56.4"/>
    <n v="225.6"/>
    <x v="36"/>
    <x v="5"/>
    <d v="2025-02-08T00:00:00"/>
    <x v="1"/>
    <x v="2"/>
    <x v="2"/>
    <x v="2"/>
    <x v="0"/>
    <x v="0"/>
    <x v="10"/>
  </r>
  <r>
    <x v="894"/>
    <x v="13"/>
    <x v="11"/>
    <n v="55.3"/>
    <n v="497.7"/>
    <x v="36"/>
    <x v="5"/>
    <d v="2025-02-08T00:00:00"/>
    <x v="1"/>
    <x v="2"/>
    <x v="2"/>
    <x v="1"/>
    <x v="4"/>
    <x v="0"/>
    <x v="11"/>
  </r>
  <r>
    <x v="895"/>
    <x v="2"/>
    <x v="31"/>
    <n v="75.5"/>
    <n v="2114"/>
    <x v="36"/>
    <x v="5"/>
    <d v="2025-02-07T00:00:00"/>
    <x v="3"/>
    <x v="2"/>
    <x v="2"/>
    <x v="0"/>
    <x v="0"/>
    <x v="0"/>
    <x v="11"/>
  </r>
  <r>
    <x v="896"/>
    <x v="8"/>
    <x v="0"/>
    <n v="23.6"/>
    <n v="23.6"/>
    <x v="36"/>
    <x v="5"/>
    <d v="2025-02-11T00:00:00"/>
    <x v="0"/>
    <x v="2"/>
    <x v="2"/>
    <x v="0"/>
    <x v="0"/>
    <x v="0"/>
    <x v="19"/>
  </r>
  <r>
    <x v="897"/>
    <x v="9"/>
    <x v="1"/>
    <n v="70.7"/>
    <n v="141.4"/>
    <x v="36"/>
    <x v="5"/>
    <d v="2025-02-08T00:00:00"/>
    <x v="1"/>
    <x v="2"/>
    <x v="2"/>
    <x v="2"/>
    <x v="0"/>
    <x v="0"/>
    <x v="19"/>
  </r>
  <r>
    <x v="898"/>
    <x v="12"/>
    <x v="1"/>
    <n v="43.2"/>
    <n v="86.4"/>
    <x v="36"/>
    <x v="5"/>
    <d v="2025-02-07T00:00:00"/>
    <x v="3"/>
    <x v="2"/>
    <x v="2"/>
    <x v="2"/>
    <x v="0"/>
    <x v="0"/>
    <x v="31"/>
  </r>
  <r>
    <x v="899"/>
    <x v="9"/>
    <x v="11"/>
    <n v="70"/>
    <n v="630"/>
    <x v="36"/>
    <x v="5"/>
    <d v="2025-02-07T00:00:00"/>
    <x v="3"/>
    <x v="0"/>
    <x v="0"/>
    <x v="1"/>
    <x v="0"/>
    <x v="0"/>
    <x v="52"/>
  </r>
  <r>
    <x v="900"/>
    <x v="0"/>
    <x v="1"/>
    <n v="20.5"/>
    <n v="41"/>
    <x v="36"/>
    <x v="5"/>
    <d v="2025-02-08T00:00:00"/>
    <x v="1"/>
    <x v="2"/>
    <x v="2"/>
    <x v="2"/>
    <x v="4"/>
    <x v="0"/>
    <x v="13"/>
  </r>
  <r>
    <x v="901"/>
    <x v="0"/>
    <x v="12"/>
    <n v="29.1"/>
    <n v="116.4"/>
    <x v="36"/>
    <x v="5"/>
    <d v="2025-02-07T00:00:00"/>
    <x v="3"/>
    <x v="2"/>
    <x v="2"/>
    <x v="3"/>
    <x v="0"/>
    <x v="0"/>
    <x v="28"/>
  </r>
  <r>
    <x v="902"/>
    <x v="6"/>
    <x v="11"/>
    <n v="53.6"/>
    <n v="482.40000000000003"/>
    <x v="36"/>
    <x v="5"/>
    <d v="2025-02-07T00:00:00"/>
    <x v="3"/>
    <x v="1"/>
    <x v="1"/>
    <x v="2"/>
    <x v="1"/>
    <x v="0"/>
    <x v="3"/>
  </r>
  <r>
    <x v="903"/>
    <x v="6"/>
    <x v="9"/>
    <n v="72.3"/>
    <n v="361.5"/>
    <x v="36"/>
    <x v="5"/>
    <d v="2025-02-08T00:00:00"/>
    <x v="1"/>
    <x v="2"/>
    <x v="2"/>
    <x v="1"/>
    <x v="0"/>
    <x v="0"/>
    <x v="3"/>
  </r>
  <r>
    <x v="904"/>
    <x v="13"/>
    <x v="12"/>
    <n v="22.6"/>
    <n v="90.4"/>
    <x v="36"/>
    <x v="5"/>
    <d v="2025-02-09T00:00:00"/>
    <x v="2"/>
    <x v="3"/>
    <x v="3"/>
    <x v="0"/>
    <x v="1"/>
    <x v="0"/>
    <x v="3"/>
  </r>
  <r>
    <x v="905"/>
    <x v="9"/>
    <x v="1"/>
    <n v="44.2"/>
    <n v="88.4"/>
    <x v="36"/>
    <x v="5"/>
    <d v="2025-02-10T00:00:00"/>
    <x v="5"/>
    <x v="0"/>
    <x v="0"/>
    <x v="2"/>
    <x v="4"/>
    <x v="0"/>
    <x v="3"/>
  </r>
  <r>
    <x v="906"/>
    <x v="9"/>
    <x v="2"/>
    <n v="94.1"/>
    <n v="282.29999999999995"/>
    <x v="36"/>
    <x v="5"/>
    <d v="2025-02-19T00:00:00"/>
    <x v="10"/>
    <x v="2"/>
    <x v="2"/>
    <x v="2"/>
    <x v="2"/>
    <x v="0"/>
    <x v="3"/>
  </r>
  <r>
    <x v="907"/>
    <x v="8"/>
    <x v="2"/>
    <n v="17.899999999999999"/>
    <n v="53.699999999999996"/>
    <x v="36"/>
    <x v="5"/>
    <d v="2025-02-08T00:00:00"/>
    <x v="1"/>
    <x v="1"/>
    <x v="1"/>
    <x v="1"/>
    <x v="1"/>
    <x v="0"/>
    <x v="3"/>
  </r>
  <r>
    <x v="908"/>
    <x v="12"/>
    <x v="3"/>
    <n v="52.7"/>
    <n v="368.90000000000003"/>
    <x v="36"/>
    <x v="5"/>
    <d v="2025-02-07T00:00:00"/>
    <x v="3"/>
    <x v="1"/>
    <x v="1"/>
    <x v="1"/>
    <x v="1"/>
    <x v="0"/>
    <x v="3"/>
  </r>
  <r>
    <x v="909"/>
    <x v="8"/>
    <x v="0"/>
    <n v="36.799999999999997"/>
    <n v="36.799999999999997"/>
    <x v="36"/>
    <x v="5"/>
    <d v="2025-02-06T00:00:00"/>
    <x v="7"/>
    <x v="0"/>
    <x v="0"/>
    <x v="0"/>
    <x v="2"/>
    <x v="0"/>
    <x v="3"/>
  </r>
  <r>
    <x v="910"/>
    <x v="4"/>
    <x v="0"/>
    <n v="52.5"/>
    <n v="52.5"/>
    <x v="36"/>
    <x v="5"/>
    <d v="2025-02-07T00:00:00"/>
    <x v="3"/>
    <x v="1"/>
    <x v="1"/>
    <x v="0"/>
    <x v="1"/>
    <x v="0"/>
    <x v="6"/>
  </r>
  <r>
    <x v="911"/>
    <x v="2"/>
    <x v="1"/>
    <n v="133.80000000000001"/>
    <n v="267.60000000000002"/>
    <x v="36"/>
    <x v="5"/>
    <d v="2025-02-08T00:00:00"/>
    <x v="1"/>
    <x v="1"/>
    <x v="1"/>
    <x v="0"/>
    <x v="1"/>
    <x v="0"/>
    <x v="7"/>
  </r>
  <r>
    <x v="912"/>
    <x v="6"/>
    <x v="1"/>
    <n v="53.2"/>
    <n v="106.4"/>
    <x v="36"/>
    <x v="5"/>
    <d v="2025-02-08T00:00:00"/>
    <x v="1"/>
    <x v="1"/>
    <x v="1"/>
    <x v="0"/>
    <x v="0"/>
    <x v="0"/>
    <x v="17"/>
  </r>
  <r>
    <x v="913"/>
    <x v="14"/>
    <x v="13"/>
    <n v="18.7"/>
    <n v="112.19999999999999"/>
    <x v="36"/>
    <x v="5"/>
    <d v="2025-02-08T00:00:00"/>
    <x v="1"/>
    <x v="0"/>
    <x v="0"/>
    <x v="0"/>
    <x v="1"/>
    <x v="0"/>
    <x v="10"/>
  </r>
  <r>
    <x v="914"/>
    <x v="6"/>
    <x v="12"/>
    <n v="108.8"/>
    <n v="435.2"/>
    <x v="36"/>
    <x v="5"/>
    <d v="2025-02-07T00:00:00"/>
    <x v="3"/>
    <x v="2"/>
    <x v="2"/>
    <x v="3"/>
    <x v="2"/>
    <x v="0"/>
    <x v="11"/>
  </r>
  <r>
    <x v="915"/>
    <x v="15"/>
    <x v="9"/>
    <n v="38.5"/>
    <n v="192.5"/>
    <x v="36"/>
    <x v="5"/>
    <d v="2025-02-10T00:00:00"/>
    <x v="5"/>
    <x v="2"/>
    <x v="2"/>
    <x v="0"/>
    <x v="1"/>
    <x v="0"/>
    <x v="14"/>
  </r>
  <r>
    <x v="916"/>
    <x v="10"/>
    <x v="7"/>
    <n v="46.5"/>
    <n v="465"/>
    <x v="36"/>
    <x v="5"/>
    <d v="2025-02-08T00:00:00"/>
    <x v="1"/>
    <x v="1"/>
    <x v="1"/>
    <x v="2"/>
    <x v="1"/>
    <x v="0"/>
    <x v="2"/>
  </r>
  <r>
    <x v="917"/>
    <x v="2"/>
    <x v="2"/>
    <n v="75.8"/>
    <n v="227.39999999999998"/>
    <x v="36"/>
    <x v="5"/>
    <d v="2025-02-10T00:00:00"/>
    <x v="5"/>
    <x v="2"/>
    <x v="2"/>
    <x v="1"/>
    <x v="4"/>
    <x v="0"/>
    <x v="44"/>
  </r>
  <r>
    <x v="918"/>
    <x v="8"/>
    <x v="0"/>
    <n v="20.9"/>
    <n v="20.9"/>
    <x v="36"/>
    <x v="5"/>
    <d v="2025-02-10T00:00:00"/>
    <x v="5"/>
    <x v="1"/>
    <x v="1"/>
    <x v="0"/>
    <x v="0"/>
    <x v="0"/>
    <x v="22"/>
  </r>
  <r>
    <x v="919"/>
    <x v="18"/>
    <x v="2"/>
    <n v="47.4"/>
    <n v="142.19999999999999"/>
    <x v="36"/>
    <x v="5"/>
    <d v="2025-02-09T00:00:00"/>
    <x v="2"/>
    <x v="2"/>
    <x v="2"/>
    <x v="0"/>
    <x v="0"/>
    <x v="0"/>
    <x v="3"/>
  </r>
  <r>
    <x v="920"/>
    <x v="9"/>
    <x v="1"/>
    <n v="53.8"/>
    <n v="107.6"/>
    <x v="36"/>
    <x v="5"/>
    <d v="2025-02-07T00:00:00"/>
    <x v="3"/>
    <x v="0"/>
    <x v="0"/>
    <x v="0"/>
    <x v="1"/>
    <x v="0"/>
    <x v="3"/>
  </r>
  <r>
    <x v="921"/>
    <x v="8"/>
    <x v="2"/>
    <n v="24.6"/>
    <n v="73.800000000000011"/>
    <x v="36"/>
    <x v="5"/>
    <d v="2025-02-08T00:00:00"/>
    <x v="1"/>
    <x v="3"/>
    <x v="3"/>
    <x v="1"/>
    <x v="2"/>
    <x v="0"/>
    <x v="3"/>
  </r>
  <r>
    <x v="922"/>
    <x v="9"/>
    <x v="2"/>
    <n v="70.900000000000006"/>
    <n v="212.70000000000002"/>
    <x v="36"/>
    <x v="5"/>
    <d v="2025-02-11T00:00:00"/>
    <x v="0"/>
    <x v="2"/>
    <x v="2"/>
    <x v="2"/>
    <x v="2"/>
    <x v="0"/>
    <x v="3"/>
  </r>
  <r>
    <x v="923"/>
    <x v="17"/>
    <x v="2"/>
    <n v="31.9"/>
    <n v="95.699999999999989"/>
    <x v="36"/>
    <x v="5"/>
    <d v="2025-02-08T00:00:00"/>
    <x v="1"/>
    <x v="2"/>
    <x v="2"/>
    <x v="2"/>
    <x v="2"/>
    <x v="0"/>
    <x v="3"/>
  </r>
  <r>
    <x v="924"/>
    <x v="0"/>
    <x v="1"/>
    <n v="20.399999999999999"/>
    <n v="40.799999999999997"/>
    <x v="36"/>
    <x v="5"/>
    <d v="2025-02-10T00:00:00"/>
    <x v="5"/>
    <x v="1"/>
    <x v="1"/>
    <x v="3"/>
    <x v="2"/>
    <x v="0"/>
    <x v="3"/>
  </r>
  <r>
    <x v="925"/>
    <x v="8"/>
    <x v="1"/>
    <n v="18.600000000000001"/>
    <n v="37.200000000000003"/>
    <x v="36"/>
    <x v="5"/>
    <d v="2025-02-08T00:00:00"/>
    <x v="1"/>
    <x v="0"/>
    <x v="0"/>
    <x v="0"/>
    <x v="1"/>
    <x v="0"/>
    <x v="3"/>
  </r>
  <r>
    <x v="926"/>
    <x v="4"/>
    <x v="9"/>
    <n v="48.3"/>
    <n v="241.5"/>
    <x v="36"/>
    <x v="5"/>
    <d v="2025-02-08T00:00:00"/>
    <x v="1"/>
    <x v="2"/>
    <x v="2"/>
    <x v="1"/>
    <x v="0"/>
    <x v="0"/>
    <x v="3"/>
  </r>
  <r>
    <x v="927"/>
    <x v="0"/>
    <x v="12"/>
    <n v="27.7"/>
    <n v="110.8"/>
    <x v="36"/>
    <x v="5"/>
    <d v="2025-02-08T00:00:00"/>
    <x v="1"/>
    <x v="2"/>
    <x v="2"/>
    <x v="0"/>
    <x v="0"/>
    <x v="0"/>
    <x v="3"/>
  </r>
  <r>
    <x v="928"/>
    <x v="4"/>
    <x v="9"/>
    <n v="22.5"/>
    <n v="112.5"/>
    <x v="36"/>
    <x v="5"/>
    <d v="2025-02-08T00:00:00"/>
    <x v="1"/>
    <x v="2"/>
    <x v="2"/>
    <x v="4"/>
    <x v="2"/>
    <x v="0"/>
    <x v="3"/>
  </r>
  <r>
    <x v="929"/>
    <x v="17"/>
    <x v="9"/>
    <n v="21.6"/>
    <n v="108"/>
    <x v="36"/>
    <x v="5"/>
    <d v="2025-02-14T00:00:00"/>
    <x v="9"/>
    <x v="2"/>
    <x v="2"/>
    <x v="0"/>
    <x v="1"/>
    <x v="0"/>
    <x v="3"/>
  </r>
  <r>
    <x v="930"/>
    <x v="10"/>
    <x v="3"/>
    <n v="26.3"/>
    <n v="184.1"/>
    <x v="36"/>
    <x v="5"/>
    <d v="2025-02-06T00:00:00"/>
    <x v="7"/>
    <x v="2"/>
    <x v="2"/>
    <x v="2"/>
    <x v="1"/>
    <x v="0"/>
    <x v="3"/>
  </r>
  <r>
    <x v="931"/>
    <x v="6"/>
    <x v="3"/>
    <n v="103"/>
    <n v="721"/>
    <x v="37"/>
    <x v="5"/>
    <d v="2025-02-08T00:00:00"/>
    <x v="3"/>
    <x v="1"/>
    <x v="1"/>
    <x v="0"/>
    <x v="2"/>
    <x v="0"/>
    <x v="6"/>
  </r>
  <r>
    <x v="932"/>
    <x v="5"/>
    <x v="20"/>
    <n v="46.6"/>
    <n v="699"/>
    <x v="37"/>
    <x v="5"/>
    <d v="2025-02-08T00:00:00"/>
    <x v="3"/>
    <x v="2"/>
    <x v="2"/>
    <x v="0"/>
    <x v="1"/>
    <x v="0"/>
    <x v="6"/>
  </r>
  <r>
    <x v="933"/>
    <x v="0"/>
    <x v="9"/>
    <n v="32.200000000000003"/>
    <n v="161"/>
    <x v="37"/>
    <x v="5"/>
    <d v="2025-02-10T00:00:00"/>
    <x v="2"/>
    <x v="2"/>
    <x v="2"/>
    <x v="0"/>
    <x v="2"/>
    <x v="0"/>
    <x v="36"/>
  </r>
  <r>
    <x v="934"/>
    <x v="8"/>
    <x v="2"/>
    <n v="22"/>
    <n v="66"/>
    <x v="37"/>
    <x v="5"/>
    <d v="2025-02-14T00:00:00"/>
    <x v="6"/>
    <x v="1"/>
    <x v="1"/>
    <x v="1"/>
    <x v="0"/>
    <x v="0"/>
    <x v="7"/>
  </r>
  <r>
    <x v="935"/>
    <x v="0"/>
    <x v="1"/>
    <n v="25.2"/>
    <n v="50.4"/>
    <x v="37"/>
    <x v="5"/>
    <d v="2025-02-11T00:00:00"/>
    <x v="5"/>
    <x v="2"/>
    <x v="2"/>
    <x v="0"/>
    <x v="0"/>
    <x v="0"/>
    <x v="7"/>
  </r>
  <r>
    <x v="936"/>
    <x v="1"/>
    <x v="13"/>
    <n v="68.7"/>
    <n v="412.20000000000005"/>
    <x v="37"/>
    <x v="5"/>
    <d v="2025-02-09T00:00:00"/>
    <x v="1"/>
    <x v="1"/>
    <x v="1"/>
    <x v="4"/>
    <x v="0"/>
    <x v="0"/>
    <x v="8"/>
  </r>
  <r>
    <x v="937"/>
    <x v="0"/>
    <x v="2"/>
    <n v="22.2"/>
    <n v="66.599999999999994"/>
    <x v="37"/>
    <x v="5"/>
    <d v="2025-02-10T00:00:00"/>
    <x v="2"/>
    <x v="1"/>
    <x v="1"/>
    <x v="2"/>
    <x v="2"/>
    <x v="0"/>
    <x v="8"/>
  </r>
  <r>
    <x v="938"/>
    <x v="1"/>
    <x v="3"/>
    <n v="36"/>
    <n v="252"/>
    <x v="37"/>
    <x v="5"/>
    <d v="2025-02-08T00:00:00"/>
    <x v="3"/>
    <x v="2"/>
    <x v="2"/>
    <x v="1"/>
    <x v="0"/>
    <x v="0"/>
    <x v="8"/>
  </r>
  <r>
    <x v="939"/>
    <x v="18"/>
    <x v="0"/>
    <n v="50.6"/>
    <n v="50.6"/>
    <x v="37"/>
    <x v="5"/>
    <d v="2025-02-09T00:00:00"/>
    <x v="1"/>
    <x v="2"/>
    <x v="2"/>
    <x v="0"/>
    <x v="1"/>
    <x v="0"/>
    <x v="8"/>
  </r>
  <r>
    <x v="940"/>
    <x v="15"/>
    <x v="1"/>
    <n v="44.9"/>
    <n v="89.8"/>
    <x v="37"/>
    <x v="5"/>
    <d v="2025-02-09T00:00:00"/>
    <x v="1"/>
    <x v="1"/>
    <x v="1"/>
    <x v="0"/>
    <x v="1"/>
    <x v="0"/>
    <x v="8"/>
  </r>
  <r>
    <x v="941"/>
    <x v="6"/>
    <x v="2"/>
    <n v="71.599999999999994"/>
    <n v="214.79999999999998"/>
    <x v="37"/>
    <x v="5"/>
    <d v="2025-02-11T00:00:00"/>
    <x v="5"/>
    <x v="1"/>
    <x v="1"/>
    <x v="1"/>
    <x v="2"/>
    <x v="0"/>
    <x v="10"/>
  </r>
  <r>
    <x v="942"/>
    <x v="6"/>
    <x v="13"/>
    <n v="51.5"/>
    <n v="309"/>
    <x v="37"/>
    <x v="5"/>
    <d v="2025-02-09T00:00:00"/>
    <x v="1"/>
    <x v="0"/>
    <x v="0"/>
    <x v="4"/>
    <x v="0"/>
    <x v="0"/>
    <x v="11"/>
  </r>
  <r>
    <x v="943"/>
    <x v="7"/>
    <x v="9"/>
    <n v="55.5"/>
    <n v="277.5"/>
    <x v="37"/>
    <x v="5"/>
    <d v="2025-02-08T00:00:00"/>
    <x v="3"/>
    <x v="1"/>
    <x v="1"/>
    <x v="1"/>
    <x v="1"/>
    <x v="0"/>
    <x v="11"/>
  </r>
  <r>
    <x v="944"/>
    <x v="6"/>
    <x v="0"/>
    <n v="51.7"/>
    <n v="51.7"/>
    <x v="37"/>
    <x v="5"/>
    <d v="2025-02-21T00:00:00"/>
    <x v="12"/>
    <x v="1"/>
    <x v="1"/>
    <x v="2"/>
    <x v="0"/>
    <x v="0"/>
    <x v="19"/>
  </r>
  <r>
    <x v="945"/>
    <x v="8"/>
    <x v="38"/>
    <n v="45.5"/>
    <n v="955.5"/>
    <x v="37"/>
    <x v="5"/>
    <d v="2025-02-08T00:00:00"/>
    <x v="3"/>
    <x v="2"/>
    <x v="2"/>
    <x v="3"/>
    <x v="2"/>
    <x v="0"/>
    <x v="19"/>
  </r>
  <r>
    <x v="946"/>
    <x v="8"/>
    <x v="1"/>
    <n v="33.799999999999997"/>
    <n v="67.599999999999994"/>
    <x v="37"/>
    <x v="5"/>
    <d v="2025-02-13T00:00:00"/>
    <x v="4"/>
    <x v="2"/>
    <x v="2"/>
    <x v="3"/>
    <x v="0"/>
    <x v="0"/>
    <x v="20"/>
  </r>
  <r>
    <x v="947"/>
    <x v="3"/>
    <x v="2"/>
    <n v="76.5"/>
    <n v="229.5"/>
    <x v="37"/>
    <x v="5"/>
    <d v="2025-02-08T00:00:00"/>
    <x v="3"/>
    <x v="2"/>
    <x v="2"/>
    <x v="0"/>
    <x v="1"/>
    <x v="0"/>
    <x v="21"/>
  </r>
  <r>
    <x v="948"/>
    <x v="9"/>
    <x v="2"/>
    <n v="42.6"/>
    <n v="127.80000000000001"/>
    <x v="37"/>
    <x v="5"/>
    <d v="2025-02-13T00:00:00"/>
    <x v="4"/>
    <x v="2"/>
    <x v="2"/>
    <x v="2"/>
    <x v="2"/>
    <x v="0"/>
    <x v="2"/>
  </r>
  <r>
    <x v="949"/>
    <x v="6"/>
    <x v="2"/>
    <n v="44.1"/>
    <n v="132.30000000000001"/>
    <x v="37"/>
    <x v="5"/>
    <d v="2025-02-09T00:00:00"/>
    <x v="1"/>
    <x v="2"/>
    <x v="2"/>
    <x v="1"/>
    <x v="1"/>
    <x v="0"/>
    <x v="22"/>
  </r>
  <r>
    <x v="950"/>
    <x v="8"/>
    <x v="1"/>
    <n v="40.9"/>
    <n v="81.8"/>
    <x v="37"/>
    <x v="5"/>
    <d v="2025-02-11T00:00:00"/>
    <x v="5"/>
    <x v="1"/>
    <x v="1"/>
    <x v="0"/>
    <x v="0"/>
    <x v="0"/>
    <x v="3"/>
  </r>
  <r>
    <x v="951"/>
    <x v="9"/>
    <x v="2"/>
    <n v="49.1"/>
    <n v="147.30000000000001"/>
    <x v="37"/>
    <x v="5"/>
    <d v="2025-02-11T00:00:00"/>
    <x v="5"/>
    <x v="2"/>
    <x v="2"/>
    <x v="3"/>
    <x v="1"/>
    <x v="0"/>
    <x v="3"/>
  </r>
  <r>
    <x v="952"/>
    <x v="18"/>
    <x v="0"/>
    <n v="85.3"/>
    <n v="85.3"/>
    <x v="37"/>
    <x v="5"/>
    <d v="2025-02-11T00:00:00"/>
    <x v="5"/>
    <x v="1"/>
    <x v="1"/>
    <x v="1"/>
    <x v="1"/>
    <x v="0"/>
    <x v="3"/>
  </r>
  <r>
    <x v="953"/>
    <x v="6"/>
    <x v="12"/>
    <n v="43.1"/>
    <n v="172.4"/>
    <x v="38"/>
    <x v="5"/>
    <d v="2025-02-11T00:00:00"/>
    <x v="2"/>
    <x v="1"/>
    <x v="1"/>
    <x v="0"/>
    <x v="0"/>
    <x v="0"/>
    <x v="3"/>
  </r>
  <r>
    <x v="954"/>
    <x v="4"/>
    <x v="12"/>
    <n v="46.2"/>
    <n v="184.8"/>
    <x v="38"/>
    <x v="5"/>
    <d v="2025-02-09T00:00:00"/>
    <x v="3"/>
    <x v="1"/>
    <x v="1"/>
    <x v="2"/>
    <x v="0"/>
    <x v="0"/>
    <x v="3"/>
  </r>
  <r>
    <x v="955"/>
    <x v="1"/>
    <x v="0"/>
    <n v="74.400000000000006"/>
    <n v="74.400000000000006"/>
    <x v="38"/>
    <x v="5"/>
    <d v="2025-02-10T00:00:00"/>
    <x v="1"/>
    <x v="1"/>
    <x v="1"/>
    <x v="4"/>
    <x v="2"/>
    <x v="0"/>
    <x v="3"/>
  </r>
  <r>
    <x v="956"/>
    <x v="17"/>
    <x v="1"/>
    <n v="51.2"/>
    <n v="102.4"/>
    <x v="38"/>
    <x v="5"/>
    <d v="2025-02-09T00:00:00"/>
    <x v="3"/>
    <x v="1"/>
    <x v="1"/>
    <x v="1"/>
    <x v="0"/>
    <x v="0"/>
    <x v="3"/>
  </r>
  <r>
    <x v="957"/>
    <x v="14"/>
    <x v="12"/>
    <n v="11.8"/>
    <n v="47.2"/>
    <x v="38"/>
    <x v="5"/>
    <d v="2025-02-08T00:00:00"/>
    <x v="7"/>
    <x v="1"/>
    <x v="1"/>
    <x v="2"/>
    <x v="0"/>
    <x v="0"/>
    <x v="3"/>
  </r>
  <r>
    <x v="958"/>
    <x v="10"/>
    <x v="6"/>
    <n v="40.799999999999997"/>
    <n v="1101.5999999999999"/>
    <x v="38"/>
    <x v="5"/>
    <d v="2025-02-09T00:00:00"/>
    <x v="3"/>
    <x v="2"/>
    <x v="2"/>
    <x v="3"/>
    <x v="2"/>
    <x v="0"/>
    <x v="3"/>
  </r>
  <r>
    <x v="959"/>
    <x v="8"/>
    <x v="0"/>
    <n v="24.7"/>
    <n v="24.7"/>
    <x v="38"/>
    <x v="5"/>
    <d v="2025-02-10T00:00:00"/>
    <x v="1"/>
    <x v="2"/>
    <x v="2"/>
    <x v="2"/>
    <x v="1"/>
    <x v="0"/>
    <x v="3"/>
  </r>
  <r>
    <x v="960"/>
    <x v="8"/>
    <x v="3"/>
    <n v="22.1"/>
    <n v="154.70000000000002"/>
    <x v="38"/>
    <x v="5"/>
    <d v="2025-02-08T00:00:00"/>
    <x v="7"/>
    <x v="2"/>
    <x v="2"/>
    <x v="2"/>
    <x v="4"/>
    <x v="0"/>
    <x v="3"/>
  </r>
  <r>
    <x v="961"/>
    <x v="8"/>
    <x v="0"/>
    <n v="18.100000000000001"/>
    <n v="18.100000000000001"/>
    <x v="38"/>
    <x v="5"/>
    <d v="2025-02-12T00:00:00"/>
    <x v="5"/>
    <x v="1"/>
    <x v="1"/>
    <x v="3"/>
    <x v="2"/>
    <x v="0"/>
    <x v="3"/>
  </r>
  <r>
    <x v="962"/>
    <x v="17"/>
    <x v="1"/>
    <n v="58.8"/>
    <n v="117.6"/>
    <x v="38"/>
    <x v="5"/>
    <d v="2025-02-11T00:00:00"/>
    <x v="2"/>
    <x v="2"/>
    <x v="2"/>
    <x v="0"/>
    <x v="0"/>
    <x v="0"/>
    <x v="25"/>
  </r>
  <r>
    <x v="963"/>
    <x v="18"/>
    <x v="1"/>
    <n v="30.8"/>
    <n v="61.6"/>
    <x v="38"/>
    <x v="5"/>
    <d v="2025-02-09T00:00:00"/>
    <x v="3"/>
    <x v="2"/>
    <x v="2"/>
    <x v="0"/>
    <x v="0"/>
    <x v="0"/>
    <x v="6"/>
  </r>
  <r>
    <x v="964"/>
    <x v="0"/>
    <x v="1"/>
    <n v="12"/>
    <n v="24"/>
    <x v="38"/>
    <x v="5"/>
    <d v="2025-02-12T00:00:00"/>
    <x v="5"/>
    <x v="2"/>
    <x v="2"/>
    <x v="0"/>
    <x v="0"/>
    <x v="0"/>
    <x v="6"/>
  </r>
  <r>
    <x v="965"/>
    <x v="0"/>
    <x v="12"/>
    <n v="13.6"/>
    <n v="54.4"/>
    <x v="38"/>
    <x v="5"/>
    <d v="2025-02-11T00:00:00"/>
    <x v="2"/>
    <x v="1"/>
    <x v="1"/>
    <x v="2"/>
    <x v="0"/>
    <x v="0"/>
    <x v="6"/>
  </r>
  <r>
    <x v="966"/>
    <x v="0"/>
    <x v="0"/>
    <n v="17.899999999999999"/>
    <n v="17.899999999999999"/>
    <x v="38"/>
    <x v="5"/>
    <d v="2025-02-09T00:00:00"/>
    <x v="3"/>
    <x v="1"/>
    <x v="1"/>
    <x v="3"/>
    <x v="0"/>
    <x v="0"/>
    <x v="6"/>
  </r>
  <r>
    <x v="967"/>
    <x v="9"/>
    <x v="1"/>
    <n v="38.6"/>
    <n v="77.2"/>
    <x v="38"/>
    <x v="5"/>
    <d v="2025-02-12T00:00:00"/>
    <x v="5"/>
    <x v="2"/>
    <x v="2"/>
    <x v="4"/>
    <x v="0"/>
    <x v="0"/>
    <x v="7"/>
  </r>
  <r>
    <x v="968"/>
    <x v="5"/>
    <x v="9"/>
    <n v="32.700000000000003"/>
    <n v="163.5"/>
    <x v="38"/>
    <x v="5"/>
    <d v="2025-02-09T00:00:00"/>
    <x v="3"/>
    <x v="1"/>
    <x v="1"/>
    <x v="2"/>
    <x v="2"/>
    <x v="0"/>
    <x v="8"/>
  </r>
  <r>
    <x v="969"/>
    <x v="3"/>
    <x v="1"/>
    <n v="111.4"/>
    <n v="222.8"/>
    <x v="38"/>
    <x v="5"/>
    <d v="2025-02-09T00:00:00"/>
    <x v="3"/>
    <x v="2"/>
    <x v="2"/>
    <x v="1"/>
    <x v="0"/>
    <x v="0"/>
    <x v="8"/>
  </r>
  <r>
    <x v="970"/>
    <x v="2"/>
    <x v="13"/>
    <n v="80.3"/>
    <n v="481.79999999999995"/>
    <x v="38"/>
    <x v="5"/>
    <d v="2025-02-10T00:00:00"/>
    <x v="1"/>
    <x v="2"/>
    <x v="2"/>
    <x v="1"/>
    <x v="0"/>
    <x v="0"/>
    <x v="8"/>
  </r>
  <r>
    <x v="971"/>
    <x v="6"/>
    <x v="1"/>
    <n v="58.9"/>
    <n v="117.8"/>
    <x v="38"/>
    <x v="5"/>
    <d v="2025-02-09T00:00:00"/>
    <x v="3"/>
    <x v="1"/>
    <x v="1"/>
    <x v="1"/>
    <x v="0"/>
    <x v="0"/>
    <x v="8"/>
  </r>
  <r>
    <x v="972"/>
    <x v="6"/>
    <x v="2"/>
    <n v="51.9"/>
    <n v="155.69999999999999"/>
    <x v="38"/>
    <x v="5"/>
    <d v="2025-02-10T00:00:00"/>
    <x v="1"/>
    <x v="2"/>
    <x v="2"/>
    <x v="1"/>
    <x v="4"/>
    <x v="0"/>
    <x v="8"/>
  </r>
  <r>
    <x v="973"/>
    <x v="2"/>
    <x v="2"/>
    <n v="50.3"/>
    <n v="150.89999999999998"/>
    <x v="38"/>
    <x v="5"/>
    <d v="2025-02-09T00:00:00"/>
    <x v="3"/>
    <x v="1"/>
    <x v="1"/>
    <x v="2"/>
    <x v="0"/>
    <x v="0"/>
    <x v="17"/>
  </r>
  <r>
    <x v="974"/>
    <x v="11"/>
    <x v="13"/>
    <n v="45"/>
    <n v="270"/>
    <x v="38"/>
    <x v="5"/>
    <d v="2025-02-14T00:00:00"/>
    <x v="4"/>
    <x v="2"/>
    <x v="2"/>
    <x v="3"/>
    <x v="0"/>
    <x v="0"/>
    <x v="9"/>
  </r>
  <r>
    <x v="975"/>
    <x v="10"/>
    <x v="13"/>
    <n v="44.7"/>
    <n v="268.20000000000005"/>
    <x v="38"/>
    <x v="5"/>
    <d v="2025-02-10T00:00:00"/>
    <x v="1"/>
    <x v="2"/>
    <x v="2"/>
    <x v="2"/>
    <x v="0"/>
    <x v="0"/>
    <x v="11"/>
  </r>
  <r>
    <x v="976"/>
    <x v="18"/>
    <x v="20"/>
    <n v="33"/>
    <n v="495"/>
    <x v="38"/>
    <x v="5"/>
    <d v="2025-02-09T00:00:00"/>
    <x v="3"/>
    <x v="2"/>
    <x v="2"/>
    <x v="2"/>
    <x v="0"/>
    <x v="0"/>
    <x v="11"/>
  </r>
  <r>
    <x v="977"/>
    <x v="1"/>
    <x v="9"/>
    <n v="44.9"/>
    <n v="224.5"/>
    <x v="38"/>
    <x v="5"/>
    <d v="2025-02-11T00:00:00"/>
    <x v="2"/>
    <x v="2"/>
    <x v="2"/>
    <x v="2"/>
    <x v="2"/>
    <x v="0"/>
    <x v="18"/>
  </r>
  <r>
    <x v="978"/>
    <x v="10"/>
    <x v="1"/>
    <n v="34.6"/>
    <n v="69.2"/>
    <x v="38"/>
    <x v="5"/>
    <d v="2025-02-12T00:00:00"/>
    <x v="5"/>
    <x v="2"/>
    <x v="2"/>
    <x v="0"/>
    <x v="1"/>
    <x v="0"/>
    <x v="19"/>
  </r>
  <r>
    <x v="979"/>
    <x v="7"/>
    <x v="3"/>
    <n v="47.1"/>
    <n v="329.7"/>
    <x v="38"/>
    <x v="5"/>
    <d v="2025-02-13T00:00:00"/>
    <x v="0"/>
    <x v="2"/>
    <x v="2"/>
    <x v="0"/>
    <x v="0"/>
    <x v="0"/>
    <x v="13"/>
  </r>
  <r>
    <x v="980"/>
    <x v="4"/>
    <x v="9"/>
    <n v="26.1"/>
    <n v="130.5"/>
    <x v="38"/>
    <x v="5"/>
    <d v="2025-02-13T00:00:00"/>
    <x v="0"/>
    <x v="1"/>
    <x v="1"/>
    <x v="0"/>
    <x v="2"/>
    <x v="0"/>
    <x v="21"/>
  </r>
  <r>
    <x v="981"/>
    <x v="12"/>
    <x v="9"/>
    <n v="66.8"/>
    <n v="334"/>
    <x v="38"/>
    <x v="5"/>
    <d v="2025-02-11T00:00:00"/>
    <x v="2"/>
    <x v="2"/>
    <x v="2"/>
    <x v="0"/>
    <x v="0"/>
    <x v="0"/>
    <x v="21"/>
  </r>
  <r>
    <x v="982"/>
    <x v="2"/>
    <x v="1"/>
    <n v="167.9"/>
    <n v="335.8"/>
    <x v="38"/>
    <x v="5"/>
    <d v="2025-02-09T00:00:00"/>
    <x v="3"/>
    <x v="2"/>
    <x v="2"/>
    <x v="3"/>
    <x v="2"/>
    <x v="0"/>
    <x v="21"/>
  </r>
  <r>
    <x v="983"/>
    <x v="10"/>
    <x v="11"/>
    <n v="34.6"/>
    <n v="311.40000000000003"/>
    <x v="38"/>
    <x v="5"/>
    <d v="2025-02-09T00:00:00"/>
    <x v="3"/>
    <x v="2"/>
    <x v="2"/>
    <x v="2"/>
    <x v="1"/>
    <x v="0"/>
    <x v="21"/>
  </r>
  <r>
    <x v="984"/>
    <x v="8"/>
    <x v="2"/>
    <n v="35.1"/>
    <n v="105.30000000000001"/>
    <x v="39"/>
    <x v="6"/>
    <d v="2025-02-13T00:00:00"/>
    <x v="5"/>
    <x v="1"/>
    <x v="1"/>
    <x v="4"/>
    <x v="2"/>
    <x v="0"/>
    <x v="1"/>
  </r>
  <r>
    <x v="985"/>
    <x v="6"/>
    <x v="12"/>
    <n v="104.5"/>
    <n v="418"/>
    <x v="39"/>
    <x v="6"/>
    <d v="2025-02-10T00:00:00"/>
    <x v="3"/>
    <x v="1"/>
    <x v="1"/>
    <x v="1"/>
    <x v="1"/>
    <x v="0"/>
    <x v="1"/>
  </r>
  <r>
    <x v="986"/>
    <x v="8"/>
    <x v="0"/>
    <n v="37.9"/>
    <n v="37.9"/>
    <x v="39"/>
    <x v="6"/>
    <d v="2025-02-11T00:00:00"/>
    <x v="1"/>
    <x v="0"/>
    <x v="0"/>
    <x v="1"/>
    <x v="2"/>
    <x v="0"/>
    <x v="2"/>
  </r>
  <r>
    <x v="987"/>
    <x v="4"/>
    <x v="2"/>
    <n v="25.5"/>
    <n v="76.5"/>
    <x v="39"/>
    <x v="6"/>
    <d v="2025-02-12T00:00:00"/>
    <x v="2"/>
    <x v="1"/>
    <x v="1"/>
    <x v="3"/>
    <x v="0"/>
    <x v="0"/>
    <x v="2"/>
  </r>
  <r>
    <x v="988"/>
    <x v="0"/>
    <x v="2"/>
    <n v="32"/>
    <n v="96"/>
    <x v="39"/>
    <x v="6"/>
    <d v="2025-02-13T00:00:00"/>
    <x v="5"/>
    <x v="2"/>
    <x v="2"/>
    <x v="1"/>
    <x v="0"/>
    <x v="0"/>
    <x v="22"/>
  </r>
  <r>
    <x v="989"/>
    <x v="1"/>
    <x v="0"/>
    <n v="47.1"/>
    <n v="47.1"/>
    <x v="39"/>
    <x v="6"/>
    <d v="2025-02-10T00:00:00"/>
    <x v="3"/>
    <x v="2"/>
    <x v="2"/>
    <x v="0"/>
    <x v="0"/>
    <x v="0"/>
    <x v="34"/>
  </r>
  <r>
    <x v="990"/>
    <x v="6"/>
    <x v="1"/>
    <n v="50.6"/>
    <n v="101.2"/>
    <x v="39"/>
    <x v="6"/>
    <d v="2025-02-15T00:00:00"/>
    <x v="4"/>
    <x v="0"/>
    <x v="0"/>
    <x v="0"/>
    <x v="0"/>
    <x v="0"/>
    <x v="3"/>
  </r>
  <r>
    <x v="991"/>
    <x v="6"/>
    <x v="9"/>
    <n v="81.7"/>
    <n v="408.5"/>
    <x v="39"/>
    <x v="6"/>
    <d v="2025-02-10T00:00:00"/>
    <x v="3"/>
    <x v="2"/>
    <x v="2"/>
    <x v="1"/>
    <x v="2"/>
    <x v="0"/>
    <x v="3"/>
  </r>
  <r>
    <x v="992"/>
    <x v="5"/>
    <x v="1"/>
    <n v="50.7"/>
    <n v="101.4"/>
    <x v="39"/>
    <x v="6"/>
    <d v="2025-02-10T00:00:00"/>
    <x v="3"/>
    <x v="3"/>
    <x v="3"/>
    <x v="2"/>
    <x v="2"/>
    <x v="0"/>
    <x v="3"/>
  </r>
  <r>
    <x v="993"/>
    <x v="2"/>
    <x v="10"/>
    <n v="67.3"/>
    <n v="1278.7"/>
    <x v="39"/>
    <x v="6"/>
    <d v="2025-02-13T00:00:00"/>
    <x v="5"/>
    <x v="2"/>
    <x v="2"/>
    <x v="2"/>
    <x v="0"/>
    <x v="0"/>
    <x v="3"/>
  </r>
  <r>
    <x v="994"/>
    <x v="2"/>
    <x v="12"/>
    <n v="64.8"/>
    <n v="259.2"/>
    <x v="39"/>
    <x v="6"/>
    <d v="2025-02-12T00:00:00"/>
    <x v="2"/>
    <x v="2"/>
    <x v="2"/>
    <x v="3"/>
    <x v="0"/>
    <x v="0"/>
    <x v="3"/>
  </r>
  <r>
    <x v="995"/>
    <x v="5"/>
    <x v="32"/>
    <n v="61.3"/>
    <n v="1348.6"/>
    <x v="39"/>
    <x v="6"/>
    <d v="2025-02-10T00:00:00"/>
    <x v="3"/>
    <x v="2"/>
    <x v="2"/>
    <x v="0"/>
    <x v="2"/>
    <x v="0"/>
    <x v="3"/>
  </r>
  <r>
    <x v="996"/>
    <x v="14"/>
    <x v="0"/>
    <n v="32.9"/>
    <n v="32.9"/>
    <x v="39"/>
    <x v="6"/>
    <d v="2025-02-12T00:00:00"/>
    <x v="2"/>
    <x v="2"/>
    <x v="2"/>
    <x v="4"/>
    <x v="0"/>
    <x v="0"/>
    <x v="3"/>
  </r>
  <r>
    <x v="997"/>
    <x v="6"/>
    <x v="1"/>
    <n v="100.8"/>
    <n v="201.6"/>
    <x v="39"/>
    <x v="6"/>
    <d v="2025-02-12T00:00:00"/>
    <x v="2"/>
    <x v="2"/>
    <x v="2"/>
    <x v="0"/>
    <x v="0"/>
    <x v="0"/>
    <x v="3"/>
  </r>
  <r>
    <x v="998"/>
    <x v="8"/>
    <x v="12"/>
    <n v="25.1"/>
    <n v="100.4"/>
    <x v="39"/>
    <x v="6"/>
    <d v="2025-02-11T00:00:00"/>
    <x v="1"/>
    <x v="2"/>
    <x v="2"/>
    <x v="1"/>
    <x v="0"/>
    <x v="0"/>
    <x v="3"/>
  </r>
  <r>
    <x v="999"/>
    <x v="17"/>
    <x v="0"/>
    <n v="48.5"/>
    <n v="48.5"/>
    <x v="39"/>
    <x v="6"/>
    <d v="2025-02-10T00:00:00"/>
    <x v="3"/>
    <x v="2"/>
    <x v="2"/>
    <x v="0"/>
    <x v="1"/>
    <x v="0"/>
    <x v="3"/>
  </r>
  <r>
    <x v="1000"/>
    <x v="7"/>
    <x v="1"/>
    <n v="33.6"/>
    <n v="67.2"/>
    <x v="39"/>
    <x v="6"/>
    <d v="2025-02-13T00:00:00"/>
    <x v="5"/>
    <x v="2"/>
    <x v="2"/>
    <x v="2"/>
    <x v="2"/>
    <x v="0"/>
    <x v="3"/>
  </r>
  <r>
    <x v="1001"/>
    <x v="8"/>
    <x v="0"/>
    <n v="39.299999999999997"/>
    <n v="39.299999999999997"/>
    <x v="39"/>
    <x v="6"/>
    <d v="2025-02-20T00:00:00"/>
    <x v="11"/>
    <x v="2"/>
    <x v="2"/>
    <x v="1"/>
    <x v="1"/>
    <x v="0"/>
    <x v="49"/>
  </r>
  <r>
    <x v="1002"/>
    <x v="4"/>
    <x v="7"/>
    <n v="48.8"/>
    <n v="488"/>
    <x v="39"/>
    <x v="6"/>
    <d v="2025-02-11T00:00:00"/>
    <x v="1"/>
    <x v="2"/>
    <x v="2"/>
    <x v="3"/>
    <x v="1"/>
    <x v="0"/>
    <x v="25"/>
  </r>
  <r>
    <x v="1003"/>
    <x v="6"/>
    <x v="8"/>
    <n v="72.8"/>
    <n v="582.4"/>
    <x v="39"/>
    <x v="6"/>
    <d v="2025-02-11T00:00:00"/>
    <x v="1"/>
    <x v="1"/>
    <x v="1"/>
    <x v="1"/>
    <x v="2"/>
    <x v="0"/>
    <x v="5"/>
  </r>
  <r>
    <x v="1004"/>
    <x v="10"/>
    <x v="8"/>
    <n v="46.2"/>
    <n v="369.6"/>
    <x v="39"/>
    <x v="6"/>
    <d v="2025-02-10T00:00:00"/>
    <x v="3"/>
    <x v="1"/>
    <x v="1"/>
    <x v="3"/>
    <x v="4"/>
    <x v="0"/>
    <x v="5"/>
  </r>
  <r>
    <x v="1005"/>
    <x v="4"/>
    <x v="1"/>
    <n v="20.7"/>
    <n v="41.4"/>
    <x v="39"/>
    <x v="6"/>
    <d v="2025-02-10T00:00:00"/>
    <x v="3"/>
    <x v="2"/>
    <x v="2"/>
    <x v="2"/>
    <x v="3"/>
    <x v="0"/>
    <x v="6"/>
  </r>
  <r>
    <x v="1006"/>
    <x v="0"/>
    <x v="0"/>
    <n v="35.700000000000003"/>
    <n v="35.700000000000003"/>
    <x v="39"/>
    <x v="6"/>
    <d v="2025-02-11T00:00:00"/>
    <x v="1"/>
    <x v="2"/>
    <x v="2"/>
    <x v="3"/>
    <x v="0"/>
    <x v="0"/>
    <x v="6"/>
  </r>
  <r>
    <x v="1007"/>
    <x v="2"/>
    <x v="27"/>
    <n v="166.2"/>
    <n v="2659.2"/>
    <x v="39"/>
    <x v="6"/>
    <d v="2025-02-11T00:00:00"/>
    <x v="1"/>
    <x v="0"/>
    <x v="0"/>
    <x v="2"/>
    <x v="0"/>
    <x v="0"/>
    <x v="7"/>
  </r>
  <r>
    <x v="1008"/>
    <x v="6"/>
    <x v="12"/>
    <n v="85.8"/>
    <n v="343.2"/>
    <x v="39"/>
    <x v="6"/>
    <d v="2025-02-10T00:00:00"/>
    <x v="3"/>
    <x v="2"/>
    <x v="2"/>
    <x v="1"/>
    <x v="1"/>
    <x v="0"/>
    <x v="7"/>
  </r>
  <r>
    <x v="1009"/>
    <x v="8"/>
    <x v="2"/>
    <n v="26"/>
    <n v="78"/>
    <x v="39"/>
    <x v="6"/>
    <d v="2025-02-11T00:00:00"/>
    <x v="1"/>
    <x v="3"/>
    <x v="3"/>
    <x v="1"/>
    <x v="0"/>
    <x v="0"/>
    <x v="7"/>
  </r>
  <r>
    <x v="1010"/>
    <x v="2"/>
    <x v="15"/>
    <n v="116.6"/>
    <n v="1515.8"/>
    <x v="39"/>
    <x v="6"/>
    <d v="2025-02-12T00:00:00"/>
    <x v="2"/>
    <x v="2"/>
    <x v="2"/>
    <x v="0"/>
    <x v="0"/>
    <x v="0"/>
    <x v="8"/>
  </r>
  <r>
    <x v="1011"/>
    <x v="9"/>
    <x v="3"/>
    <n v="53.9"/>
    <n v="377.3"/>
    <x v="39"/>
    <x v="6"/>
    <d v="2025-02-12T00:00:00"/>
    <x v="2"/>
    <x v="3"/>
    <x v="3"/>
    <x v="0"/>
    <x v="2"/>
    <x v="0"/>
    <x v="8"/>
  </r>
  <r>
    <x v="1012"/>
    <x v="12"/>
    <x v="9"/>
    <n v="72.3"/>
    <n v="361.5"/>
    <x v="39"/>
    <x v="6"/>
    <d v="2025-02-11T00:00:00"/>
    <x v="1"/>
    <x v="0"/>
    <x v="0"/>
    <x v="2"/>
    <x v="2"/>
    <x v="0"/>
    <x v="8"/>
  </r>
  <r>
    <x v="1013"/>
    <x v="5"/>
    <x v="1"/>
    <n v="31.4"/>
    <n v="62.8"/>
    <x v="39"/>
    <x v="6"/>
    <d v="2025-02-11T00:00:00"/>
    <x v="1"/>
    <x v="2"/>
    <x v="2"/>
    <x v="0"/>
    <x v="0"/>
    <x v="0"/>
    <x v="8"/>
  </r>
  <r>
    <x v="1014"/>
    <x v="13"/>
    <x v="1"/>
    <n v="53.1"/>
    <n v="106.2"/>
    <x v="39"/>
    <x v="6"/>
    <d v="2025-02-12T00:00:00"/>
    <x v="2"/>
    <x v="1"/>
    <x v="1"/>
    <x v="1"/>
    <x v="0"/>
    <x v="0"/>
    <x v="8"/>
  </r>
  <r>
    <x v="1015"/>
    <x v="2"/>
    <x v="12"/>
    <n v="56.2"/>
    <n v="224.8"/>
    <x v="39"/>
    <x v="6"/>
    <d v="2025-02-10T00:00:00"/>
    <x v="3"/>
    <x v="2"/>
    <x v="2"/>
    <x v="0"/>
    <x v="0"/>
    <x v="0"/>
    <x v="8"/>
  </r>
  <r>
    <x v="1016"/>
    <x v="1"/>
    <x v="7"/>
    <n v="77.3"/>
    <n v="773"/>
    <x v="39"/>
    <x v="6"/>
    <d v="2025-02-10T00:00:00"/>
    <x v="3"/>
    <x v="2"/>
    <x v="2"/>
    <x v="2"/>
    <x v="0"/>
    <x v="0"/>
    <x v="11"/>
  </r>
  <r>
    <x v="1017"/>
    <x v="6"/>
    <x v="15"/>
    <n v="57.8"/>
    <n v="751.4"/>
    <x v="39"/>
    <x v="6"/>
    <d v="2025-02-10T00:00:00"/>
    <x v="3"/>
    <x v="0"/>
    <x v="0"/>
    <x v="0"/>
    <x v="0"/>
    <x v="0"/>
    <x v="53"/>
  </r>
  <r>
    <x v="1018"/>
    <x v="12"/>
    <x v="20"/>
    <n v="42.1"/>
    <n v="631.5"/>
    <x v="39"/>
    <x v="6"/>
    <d v="2025-02-11T00:00:00"/>
    <x v="1"/>
    <x v="2"/>
    <x v="2"/>
    <x v="1"/>
    <x v="1"/>
    <x v="0"/>
    <x v="53"/>
  </r>
  <r>
    <x v="1019"/>
    <x v="8"/>
    <x v="11"/>
    <n v="22.8"/>
    <n v="205.20000000000002"/>
    <x v="39"/>
    <x v="6"/>
    <d v="2025-02-13T00:00:00"/>
    <x v="5"/>
    <x v="1"/>
    <x v="1"/>
    <x v="2"/>
    <x v="2"/>
    <x v="0"/>
    <x v="19"/>
  </r>
  <r>
    <x v="1020"/>
    <x v="2"/>
    <x v="2"/>
    <n v="171.1"/>
    <n v="513.29999999999995"/>
    <x v="40"/>
    <x v="6"/>
    <d v="2025-02-17T00:00:00"/>
    <x v="6"/>
    <x v="2"/>
    <x v="2"/>
    <x v="2"/>
    <x v="1"/>
    <x v="0"/>
    <x v="19"/>
  </r>
  <r>
    <x v="1021"/>
    <x v="8"/>
    <x v="0"/>
    <n v="28"/>
    <n v="28"/>
    <x v="40"/>
    <x v="6"/>
    <d v="2025-02-12T00:00:00"/>
    <x v="1"/>
    <x v="1"/>
    <x v="1"/>
    <x v="2"/>
    <x v="2"/>
    <x v="0"/>
    <x v="21"/>
  </r>
  <r>
    <x v="1022"/>
    <x v="6"/>
    <x v="3"/>
    <n v="50.2"/>
    <n v="351.40000000000003"/>
    <x v="40"/>
    <x v="6"/>
    <d v="2025-02-12T00:00:00"/>
    <x v="1"/>
    <x v="1"/>
    <x v="1"/>
    <x v="2"/>
    <x v="0"/>
    <x v="0"/>
    <x v="21"/>
  </r>
  <r>
    <x v="1023"/>
    <x v="6"/>
    <x v="1"/>
    <n v="56"/>
    <n v="112"/>
    <x v="40"/>
    <x v="6"/>
    <d v="2025-02-10T00:00:00"/>
    <x v="7"/>
    <x v="1"/>
    <x v="1"/>
    <x v="0"/>
    <x v="2"/>
    <x v="0"/>
    <x v="22"/>
  </r>
  <r>
    <x v="1024"/>
    <x v="1"/>
    <x v="1"/>
    <n v="38.299999999999997"/>
    <n v="76.599999999999994"/>
    <x v="40"/>
    <x v="6"/>
    <d v="2025-02-11T00:00:00"/>
    <x v="3"/>
    <x v="2"/>
    <x v="2"/>
    <x v="1"/>
    <x v="0"/>
    <x v="0"/>
    <x v="3"/>
  </r>
  <r>
    <x v="1025"/>
    <x v="0"/>
    <x v="9"/>
    <n v="22.3"/>
    <n v="111.5"/>
    <x v="40"/>
    <x v="6"/>
    <d v="2025-02-14T00:00:00"/>
    <x v="5"/>
    <x v="2"/>
    <x v="2"/>
    <x v="2"/>
    <x v="1"/>
    <x v="0"/>
    <x v="3"/>
  </r>
  <r>
    <x v="1026"/>
    <x v="0"/>
    <x v="2"/>
    <n v="22.3"/>
    <n v="66.900000000000006"/>
    <x v="40"/>
    <x v="6"/>
    <d v="2025-02-13T00:00:00"/>
    <x v="2"/>
    <x v="2"/>
    <x v="2"/>
    <x v="2"/>
    <x v="0"/>
    <x v="0"/>
    <x v="3"/>
  </r>
  <r>
    <x v="1027"/>
    <x v="1"/>
    <x v="0"/>
    <n v="32.9"/>
    <n v="32.9"/>
    <x v="40"/>
    <x v="6"/>
    <d v="2025-02-15T00:00:00"/>
    <x v="0"/>
    <x v="2"/>
    <x v="2"/>
    <x v="0"/>
    <x v="0"/>
    <x v="0"/>
    <x v="3"/>
  </r>
  <r>
    <x v="1028"/>
    <x v="10"/>
    <x v="2"/>
    <n v="31.9"/>
    <n v="95.699999999999989"/>
    <x v="40"/>
    <x v="6"/>
    <d v="2025-02-15T00:00:00"/>
    <x v="0"/>
    <x v="2"/>
    <x v="2"/>
    <x v="0"/>
    <x v="0"/>
    <x v="0"/>
    <x v="3"/>
  </r>
  <r>
    <x v="1029"/>
    <x v="6"/>
    <x v="1"/>
    <n v="94"/>
    <n v="188"/>
    <x v="40"/>
    <x v="6"/>
    <d v="2025-02-11T00:00:00"/>
    <x v="3"/>
    <x v="1"/>
    <x v="1"/>
    <x v="2"/>
    <x v="2"/>
    <x v="0"/>
    <x v="3"/>
  </r>
  <r>
    <x v="1030"/>
    <x v="10"/>
    <x v="1"/>
    <n v="30.7"/>
    <n v="61.4"/>
    <x v="40"/>
    <x v="6"/>
    <d v="2025-02-11T00:00:00"/>
    <x v="3"/>
    <x v="2"/>
    <x v="2"/>
    <x v="0"/>
    <x v="1"/>
    <x v="0"/>
    <x v="3"/>
  </r>
  <r>
    <x v="1031"/>
    <x v="5"/>
    <x v="9"/>
    <n v="90.5"/>
    <n v="452.5"/>
    <x v="40"/>
    <x v="6"/>
    <d v="2025-02-17T00:00:00"/>
    <x v="6"/>
    <x v="1"/>
    <x v="1"/>
    <x v="0"/>
    <x v="2"/>
    <x v="0"/>
    <x v="3"/>
  </r>
  <r>
    <x v="1032"/>
    <x v="8"/>
    <x v="9"/>
    <n v="25.3"/>
    <n v="126.5"/>
    <x v="40"/>
    <x v="6"/>
    <d v="2025-02-14T00:00:00"/>
    <x v="5"/>
    <x v="2"/>
    <x v="2"/>
    <x v="0"/>
    <x v="2"/>
    <x v="0"/>
    <x v="3"/>
  </r>
  <r>
    <x v="1033"/>
    <x v="6"/>
    <x v="2"/>
    <n v="58.1"/>
    <n v="174.3"/>
    <x v="40"/>
    <x v="6"/>
    <d v="2025-02-14T00:00:00"/>
    <x v="5"/>
    <x v="0"/>
    <x v="0"/>
    <x v="0"/>
    <x v="2"/>
    <x v="0"/>
    <x v="3"/>
  </r>
  <r>
    <x v="1034"/>
    <x v="2"/>
    <x v="2"/>
    <n v="74.900000000000006"/>
    <n v="224.70000000000002"/>
    <x v="40"/>
    <x v="6"/>
    <d v="2025-02-11T00:00:00"/>
    <x v="3"/>
    <x v="2"/>
    <x v="2"/>
    <x v="4"/>
    <x v="0"/>
    <x v="0"/>
    <x v="3"/>
  </r>
  <r>
    <x v="1035"/>
    <x v="4"/>
    <x v="1"/>
    <n v="32.5"/>
    <n v="65"/>
    <x v="40"/>
    <x v="6"/>
    <d v="2025-02-11T00:00:00"/>
    <x v="3"/>
    <x v="1"/>
    <x v="1"/>
    <x v="2"/>
    <x v="2"/>
    <x v="0"/>
    <x v="43"/>
  </r>
  <r>
    <x v="1036"/>
    <x v="4"/>
    <x v="9"/>
    <n v="62"/>
    <n v="310"/>
    <x v="40"/>
    <x v="6"/>
    <d v="2025-02-11T00:00:00"/>
    <x v="3"/>
    <x v="1"/>
    <x v="1"/>
    <x v="4"/>
    <x v="2"/>
    <x v="0"/>
    <x v="25"/>
  </r>
  <r>
    <x v="1037"/>
    <x v="13"/>
    <x v="13"/>
    <n v="28.9"/>
    <n v="173.39999999999998"/>
    <x v="40"/>
    <x v="6"/>
    <d v="2025-02-13T00:00:00"/>
    <x v="2"/>
    <x v="2"/>
    <x v="2"/>
    <x v="0"/>
    <x v="1"/>
    <x v="0"/>
    <x v="6"/>
  </r>
  <r>
    <x v="1038"/>
    <x v="6"/>
    <x v="8"/>
    <n v="42.8"/>
    <n v="342.4"/>
    <x v="40"/>
    <x v="6"/>
    <d v="2025-02-12T00:00:00"/>
    <x v="1"/>
    <x v="2"/>
    <x v="2"/>
    <x v="0"/>
    <x v="2"/>
    <x v="0"/>
    <x v="6"/>
  </r>
  <r>
    <x v="1039"/>
    <x v="8"/>
    <x v="8"/>
    <n v="39.4"/>
    <n v="315.2"/>
    <x v="40"/>
    <x v="6"/>
    <d v="2025-02-12T00:00:00"/>
    <x v="1"/>
    <x v="1"/>
    <x v="1"/>
    <x v="0"/>
    <x v="0"/>
    <x v="0"/>
    <x v="36"/>
  </r>
  <r>
    <x v="1040"/>
    <x v="18"/>
    <x v="2"/>
    <n v="66.400000000000006"/>
    <n v="199.20000000000002"/>
    <x v="40"/>
    <x v="6"/>
    <d v="2025-02-11T00:00:00"/>
    <x v="3"/>
    <x v="0"/>
    <x v="0"/>
    <x v="2"/>
    <x v="1"/>
    <x v="0"/>
    <x v="7"/>
  </r>
  <r>
    <x v="1041"/>
    <x v="17"/>
    <x v="12"/>
    <n v="35.9"/>
    <n v="143.6"/>
    <x v="40"/>
    <x v="6"/>
    <d v="2025-02-17T00:00:00"/>
    <x v="6"/>
    <x v="2"/>
    <x v="2"/>
    <x v="1"/>
    <x v="0"/>
    <x v="0"/>
    <x v="7"/>
  </r>
  <r>
    <x v="1042"/>
    <x v="0"/>
    <x v="12"/>
    <n v="26.9"/>
    <n v="107.6"/>
    <x v="40"/>
    <x v="6"/>
    <d v="2025-02-11T00:00:00"/>
    <x v="3"/>
    <x v="1"/>
    <x v="1"/>
    <x v="1"/>
    <x v="0"/>
    <x v="0"/>
    <x v="7"/>
  </r>
  <r>
    <x v="1043"/>
    <x v="2"/>
    <x v="0"/>
    <n v="55.1"/>
    <n v="55.1"/>
    <x v="40"/>
    <x v="6"/>
    <d v="2025-02-11T00:00:00"/>
    <x v="3"/>
    <x v="2"/>
    <x v="2"/>
    <x v="0"/>
    <x v="0"/>
    <x v="0"/>
    <x v="7"/>
  </r>
  <r>
    <x v="1044"/>
    <x v="4"/>
    <x v="1"/>
    <n v="23.9"/>
    <n v="47.8"/>
    <x v="40"/>
    <x v="6"/>
    <d v="2025-02-11T00:00:00"/>
    <x v="3"/>
    <x v="1"/>
    <x v="1"/>
    <x v="0"/>
    <x v="2"/>
    <x v="0"/>
    <x v="8"/>
  </r>
  <r>
    <x v="1045"/>
    <x v="9"/>
    <x v="15"/>
    <n v="21.1"/>
    <n v="274.3"/>
    <x v="40"/>
    <x v="6"/>
    <d v="2025-02-18T00:00:00"/>
    <x v="9"/>
    <x v="2"/>
    <x v="2"/>
    <x v="0"/>
    <x v="1"/>
    <x v="0"/>
    <x v="8"/>
  </r>
  <r>
    <x v="1046"/>
    <x v="8"/>
    <x v="9"/>
    <n v="33.799999999999997"/>
    <n v="169"/>
    <x v="40"/>
    <x v="6"/>
    <d v="2025-02-12T00:00:00"/>
    <x v="1"/>
    <x v="2"/>
    <x v="2"/>
    <x v="0"/>
    <x v="0"/>
    <x v="0"/>
    <x v="8"/>
  </r>
  <r>
    <x v="1047"/>
    <x v="2"/>
    <x v="12"/>
    <n v="56.1"/>
    <n v="224.4"/>
    <x v="40"/>
    <x v="6"/>
    <d v="2025-02-10T00:00:00"/>
    <x v="7"/>
    <x v="2"/>
    <x v="2"/>
    <x v="3"/>
    <x v="2"/>
    <x v="0"/>
    <x v="9"/>
  </r>
  <r>
    <x v="1048"/>
    <x v="3"/>
    <x v="0"/>
    <n v="58.5"/>
    <n v="58.5"/>
    <x v="41"/>
    <x v="6"/>
    <d v="2025-02-15T00:00:00"/>
    <x v="5"/>
    <x v="2"/>
    <x v="2"/>
    <x v="1"/>
    <x v="2"/>
    <x v="0"/>
    <x v="9"/>
  </r>
  <r>
    <x v="1049"/>
    <x v="6"/>
    <x v="0"/>
    <n v="84.2"/>
    <n v="84.2"/>
    <x v="41"/>
    <x v="6"/>
    <d v="2025-02-13T00:00:00"/>
    <x v="1"/>
    <x v="1"/>
    <x v="1"/>
    <x v="3"/>
    <x v="0"/>
    <x v="0"/>
    <x v="11"/>
  </r>
  <r>
    <x v="1050"/>
    <x v="11"/>
    <x v="12"/>
    <n v="52"/>
    <n v="208"/>
    <x v="41"/>
    <x v="6"/>
    <d v="2025-02-14T00:00:00"/>
    <x v="2"/>
    <x v="1"/>
    <x v="1"/>
    <x v="0"/>
    <x v="0"/>
    <x v="0"/>
    <x v="11"/>
  </r>
  <r>
    <x v="1051"/>
    <x v="4"/>
    <x v="9"/>
    <n v="31.5"/>
    <n v="157.5"/>
    <x v="41"/>
    <x v="6"/>
    <d v="2025-02-12T00:00:00"/>
    <x v="3"/>
    <x v="2"/>
    <x v="2"/>
    <x v="0"/>
    <x v="2"/>
    <x v="0"/>
    <x v="11"/>
  </r>
  <r>
    <x v="1052"/>
    <x v="16"/>
    <x v="2"/>
    <n v="46.2"/>
    <n v="138.60000000000002"/>
    <x v="41"/>
    <x v="6"/>
    <d v="2025-02-12T00:00:00"/>
    <x v="3"/>
    <x v="1"/>
    <x v="1"/>
    <x v="0"/>
    <x v="0"/>
    <x v="0"/>
    <x v="53"/>
  </r>
  <r>
    <x v="1053"/>
    <x v="2"/>
    <x v="13"/>
    <n v="135"/>
    <n v="810"/>
    <x v="41"/>
    <x v="6"/>
    <d v="2025-02-12T00:00:00"/>
    <x v="3"/>
    <x v="2"/>
    <x v="2"/>
    <x v="1"/>
    <x v="2"/>
    <x v="0"/>
    <x v="18"/>
  </r>
  <r>
    <x v="1054"/>
    <x v="12"/>
    <x v="2"/>
    <n v="92.2"/>
    <n v="276.60000000000002"/>
    <x v="41"/>
    <x v="6"/>
    <d v="2025-02-15T00:00:00"/>
    <x v="5"/>
    <x v="1"/>
    <x v="1"/>
    <x v="0"/>
    <x v="0"/>
    <x v="0"/>
    <x v="21"/>
  </r>
  <r>
    <x v="1055"/>
    <x v="8"/>
    <x v="0"/>
    <n v="36.6"/>
    <n v="36.6"/>
    <x v="41"/>
    <x v="6"/>
    <d v="2025-02-13T00:00:00"/>
    <x v="1"/>
    <x v="1"/>
    <x v="1"/>
    <x v="2"/>
    <x v="2"/>
    <x v="0"/>
    <x v="21"/>
  </r>
  <r>
    <x v="1056"/>
    <x v="9"/>
    <x v="1"/>
    <n v="50.6"/>
    <n v="101.2"/>
    <x v="41"/>
    <x v="6"/>
    <d v="2025-02-14T00:00:00"/>
    <x v="2"/>
    <x v="2"/>
    <x v="2"/>
    <x v="0"/>
    <x v="0"/>
    <x v="0"/>
    <x v="2"/>
  </r>
  <r>
    <x v="1057"/>
    <x v="18"/>
    <x v="3"/>
    <n v="56.7"/>
    <n v="396.90000000000003"/>
    <x v="41"/>
    <x v="6"/>
    <d v="2025-02-14T00:00:00"/>
    <x v="2"/>
    <x v="2"/>
    <x v="2"/>
    <x v="0"/>
    <x v="0"/>
    <x v="0"/>
    <x v="2"/>
  </r>
  <r>
    <x v="1058"/>
    <x v="9"/>
    <x v="15"/>
    <n v="22.9"/>
    <n v="297.7"/>
    <x v="41"/>
    <x v="6"/>
    <d v="2025-02-12T00:00:00"/>
    <x v="3"/>
    <x v="2"/>
    <x v="2"/>
    <x v="0"/>
    <x v="1"/>
    <x v="0"/>
    <x v="44"/>
  </r>
  <r>
    <x v="1059"/>
    <x v="15"/>
    <x v="10"/>
    <n v="53.6"/>
    <n v="1018.4"/>
    <x v="41"/>
    <x v="6"/>
    <d v="2025-02-12T00:00:00"/>
    <x v="3"/>
    <x v="1"/>
    <x v="1"/>
    <x v="0"/>
    <x v="0"/>
    <x v="0"/>
    <x v="22"/>
  </r>
  <r>
    <x v="1060"/>
    <x v="18"/>
    <x v="1"/>
    <n v="30.2"/>
    <n v="60.4"/>
    <x v="41"/>
    <x v="6"/>
    <d v="2025-02-13T00:00:00"/>
    <x v="1"/>
    <x v="0"/>
    <x v="0"/>
    <x v="2"/>
    <x v="2"/>
    <x v="0"/>
    <x v="3"/>
  </r>
  <r>
    <x v="1061"/>
    <x v="15"/>
    <x v="13"/>
    <n v="83.4"/>
    <n v="500.40000000000003"/>
    <x v="41"/>
    <x v="6"/>
    <d v="2025-02-12T00:00:00"/>
    <x v="3"/>
    <x v="1"/>
    <x v="1"/>
    <x v="1"/>
    <x v="2"/>
    <x v="0"/>
    <x v="3"/>
  </r>
  <r>
    <x v="1062"/>
    <x v="13"/>
    <x v="4"/>
    <n v="16.600000000000001"/>
    <n v="199.20000000000002"/>
    <x v="41"/>
    <x v="6"/>
    <d v="2025-02-13T00:00:00"/>
    <x v="1"/>
    <x v="1"/>
    <x v="1"/>
    <x v="1"/>
    <x v="0"/>
    <x v="0"/>
    <x v="3"/>
  </r>
  <r>
    <x v="1063"/>
    <x v="8"/>
    <x v="14"/>
    <n v="21.9"/>
    <n v="372.29999999999995"/>
    <x v="41"/>
    <x v="6"/>
    <d v="2025-02-13T00:00:00"/>
    <x v="1"/>
    <x v="2"/>
    <x v="2"/>
    <x v="4"/>
    <x v="1"/>
    <x v="0"/>
    <x v="3"/>
  </r>
  <r>
    <x v="1064"/>
    <x v="8"/>
    <x v="31"/>
    <n v="33.799999999999997"/>
    <n v="946.39999999999986"/>
    <x v="41"/>
    <x v="6"/>
    <d v="2025-02-13T00:00:00"/>
    <x v="1"/>
    <x v="1"/>
    <x v="1"/>
    <x v="2"/>
    <x v="4"/>
    <x v="0"/>
    <x v="3"/>
  </r>
  <r>
    <x v="1065"/>
    <x v="18"/>
    <x v="1"/>
    <n v="53.2"/>
    <n v="106.4"/>
    <x v="41"/>
    <x v="6"/>
    <d v="2025-02-11T00:00:00"/>
    <x v="7"/>
    <x v="1"/>
    <x v="1"/>
    <x v="1"/>
    <x v="0"/>
    <x v="0"/>
    <x v="3"/>
  </r>
  <r>
    <x v="1066"/>
    <x v="2"/>
    <x v="1"/>
    <n v="176.7"/>
    <n v="353.4"/>
    <x v="41"/>
    <x v="6"/>
    <d v="2025-02-14T00:00:00"/>
    <x v="2"/>
    <x v="2"/>
    <x v="2"/>
    <x v="2"/>
    <x v="0"/>
    <x v="0"/>
    <x v="3"/>
  </r>
  <r>
    <x v="1067"/>
    <x v="12"/>
    <x v="2"/>
    <n v="54"/>
    <n v="162"/>
    <x v="41"/>
    <x v="6"/>
    <d v="2025-02-14T00:00:00"/>
    <x v="2"/>
    <x v="1"/>
    <x v="1"/>
    <x v="0"/>
    <x v="1"/>
    <x v="0"/>
    <x v="3"/>
  </r>
  <r>
    <x v="1068"/>
    <x v="9"/>
    <x v="1"/>
    <n v="70.099999999999994"/>
    <n v="140.19999999999999"/>
    <x v="41"/>
    <x v="6"/>
    <d v="2025-02-19T00:00:00"/>
    <x v="9"/>
    <x v="2"/>
    <x v="2"/>
    <x v="3"/>
    <x v="2"/>
    <x v="0"/>
    <x v="3"/>
  </r>
  <r>
    <x v="1069"/>
    <x v="8"/>
    <x v="0"/>
    <n v="26.5"/>
    <n v="26.5"/>
    <x v="41"/>
    <x v="6"/>
    <d v="2025-02-13T00:00:00"/>
    <x v="1"/>
    <x v="2"/>
    <x v="2"/>
    <x v="1"/>
    <x v="0"/>
    <x v="0"/>
    <x v="3"/>
  </r>
  <r>
    <x v="1070"/>
    <x v="7"/>
    <x v="9"/>
    <n v="89"/>
    <n v="445"/>
    <x v="41"/>
    <x v="6"/>
    <d v="2025-02-13T00:00:00"/>
    <x v="1"/>
    <x v="1"/>
    <x v="1"/>
    <x v="2"/>
    <x v="4"/>
    <x v="0"/>
    <x v="3"/>
  </r>
  <r>
    <x v="1071"/>
    <x v="1"/>
    <x v="13"/>
    <n v="47"/>
    <n v="282"/>
    <x v="41"/>
    <x v="6"/>
    <d v="2025-02-14T00:00:00"/>
    <x v="2"/>
    <x v="2"/>
    <x v="2"/>
    <x v="3"/>
    <x v="0"/>
    <x v="0"/>
    <x v="24"/>
  </r>
  <r>
    <x v="1072"/>
    <x v="3"/>
    <x v="1"/>
    <n v="55.2"/>
    <n v="110.4"/>
    <x v="41"/>
    <x v="6"/>
    <d v="2025-02-14T00:00:00"/>
    <x v="2"/>
    <x v="1"/>
    <x v="1"/>
    <x v="1"/>
    <x v="1"/>
    <x v="0"/>
    <x v="6"/>
  </r>
  <r>
    <x v="1073"/>
    <x v="8"/>
    <x v="39"/>
    <n v="33.299999999999997"/>
    <n v="1398.6"/>
    <x v="41"/>
    <x v="6"/>
    <d v="2025-02-25T00:00:00"/>
    <x v="12"/>
    <x v="1"/>
    <x v="1"/>
    <x v="1"/>
    <x v="2"/>
    <x v="0"/>
    <x v="6"/>
  </r>
  <r>
    <x v="1074"/>
    <x v="2"/>
    <x v="12"/>
    <n v="110.9"/>
    <n v="443.6"/>
    <x v="42"/>
    <x v="6"/>
    <d v="2025-02-12T00:00:00"/>
    <x v="7"/>
    <x v="1"/>
    <x v="1"/>
    <x v="2"/>
    <x v="4"/>
    <x v="0"/>
    <x v="6"/>
  </r>
  <r>
    <x v="1075"/>
    <x v="2"/>
    <x v="13"/>
    <n v="67.3"/>
    <n v="403.79999999999995"/>
    <x v="42"/>
    <x v="6"/>
    <d v="2025-02-13T00:00:00"/>
    <x v="3"/>
    <x v="1"/>
    <x v="1"/>
    <x v="0"/>
    <x v="0"/>
    <x v="0"/>
    <x v="8"/>
  </r>
  <r>
    <x v="1076"/>
    <x v="6"/>
    <x v="2"/>
    <n v="69.7"/>
    <n v="209.10000000000002"/>
    <x v="42"/>
    <x v="6"/>
    <d v="2025-02-13T00:00:00"/>
    <x v="3"/>
    <x v="1"/>
    <x v="1"/>
    <x v="2"/>
    <x v="1"/>
    <x v="0"/>
    <x v="8"/>
  </r>
  <r>
    <x v="1077"/>
    <x v="5"/>
    <x v="0"/>
    <n v="39.1"/>
    <n v="39.1"/>
    <x v="42"/>
    <x v="6"/>
    <d v="2025-02-17T00:00:00"/>
    <x v="0"/>
    <x v="1"/>
    <x v="1"/>
    <x v="0"/>
    <x v="1"/>
    <x v="0"/>
    <x v="17"/>
  </r>
  <r>
    <x v="1078"/>
    <x v="2"/>
    <x v="2"/>
    <n v="208.6"/>
    <n v="625.79999999999995"/>
    <x v="42"/>
    <x v="6"/>
    <d v="2025-02-12T00:00:00"/>
    <x v="7"/>
    <x v="1"/>
    <x v="1"/>
    <x v="4"/>
    <x v="2"/>
    <x v="0"/>
    <x v="17"/>
  </r>
  <r>
    <x v="1079"/>
    <x v="15"/>
    <x v="2"/>
    <n v="27.8"/>
    <n v="83.4"/>
    <x v="42"/>
    <x v="6"/>
    <d v="2025-02-13T00:00:00"/>
    <x v="3"/>
    <x v="1"/>
    <x v="1"/>
    <x v="3"/>
    <x v="1"/>
    <x v="0"/>
    <x v="11"/>
  </r>
  <r>
    <x v="1080"/>
    <x v="10"/>
    <x v="9"/>
    <n v="29.4"/>
    <n v="147"/>
    <x v="42"/>
    <x v="6"/>
    <d v="2025-02-14T00:00:00"/>
    <x v="1"/>
    <x v="2"/>
    <x v="2"/>
    <x v="0"/>
    <x v="0"/>
    <x v="0"/>
    <x v="11"/>
  </r>
  <r>
    <x v="1081"/>
    <x v="9"/>
    <x v="1"/>
    <n v="29.2"/>
    <n v="58.4"/>
    <x v="42"/>
    <x v="6"/>
    <d v="2025-02-14T00:00:00"/>
    <x v="1"/>
    <x v="2"/>
    <x v="2"/>
    <x v="1"/>
    <x v="2"/>
    <x v="0"/>
    <x v="20"/>
  </r>
  <r>
    <x v="1082"/>
    <x v="10"/>
    <x v="9"/>
    <n v="26.5"/>
    <n v="132.5"/>
    <x v="42"/>
    <x v="6"/>
    <d v="2025-02-14T00:00:00"/>
    <x v="1"/>
    <x v="2"/>
    <x v="2"/>
    <x v="0"/>
    <x v="0"/>
    <x v="0"/>
    <x v="52"/>
  </r>
  <r>
    <x v="1083"/>
    <x v="5"/>
    <x v="0"/>
    <n v="30.3"/>
    <n v="30.3"/>
    <x v="42"/>
    <x v="6"/>
    <d v="2025-02-13T00:00:00"/>
    <x v="3"/>
    <x v="2"/>
    <x v="2"/>
    <x v="4"/>
    <x v="1"/>
    <x v="0"/>
    <x v="13"/>
  </r>
  <r>
    <x v="1084"/>
    <x v="16"/>
    <x v="4"/>
    <n v="39.700000000000003"/>
    <n v="476.40000000000003"/>
    <x v="42"/>
    <x v="6"/>
    <d v="2025-02-13T00:00:00"/>
    <x v="3"/>
    <x v="2"/>
    <x v="2"/>
    <x v="0"/>
    <x v="0"/>
    <x v="0"/>
    <x v="21"/>
  </r>
  <r>
    <x v="1085"/>
    <x v="7"/>
    <x v="7"/>
    <n v="58.9"/>
    <n v="589"/>
    <x v="42"/>
    <x v="6"/>
    <d v="2025-02-14T00:00:00"/>
    <x v="1"/>
    <x v="2"/>
    <x v="2"/>
    <x v="1"/>
    <x v="4"/>
    <x v="0"/>
    <x v="21"/>
  </r>
  <r>
    <x v="1086"/>
    <x v="2"/>
    <x v="1"/>
    <n v="174.1"/>
    <n v="348.2"/>
    <x v="42"/>
    <x v="6"/>
    <d v="2025-02-14T00:00:00"/>
    <x v="1"/>
    <x v="2"/>
    <x v="2"/>
    <x v="0"/>
    <x v="1"/>
    <x v="0"/>
    <x v="46"/>
  </r>
  <r>
    <x v="1087"/>
    <x v="6"/>
    <x v="1"/>
    <n v="70.8"/>
    <n v="141.6"/>
    <x v="42"/>
    <x v="6"/>
    <d v="2025-02-15T00:00:00"/>
    <x v="2"/>
    <x v="1"/>
    <x v="1"/>
    <x v="2"/>
    <x v="0"/>
    <x v="0"/>
    <x v="22"/>
  </r>
  <r>
    <x v="1088"/>
    <x v="7"/>
    <x v="1"/>
    <n v="57.4"/>
    <n v="114.8"/>
    <x v="42"/>
    <x v="6"/>
    <d v="2025-02-14T00:00:00"/>
    <x v="1"/>
    <x v="2"/>
    <x v="2"/>
    <x v="1"/>
    <x v="1"/>
    <x v="0"/>
    <x v="34"/>
  </r>
  <r>
    <x v="1089"/>
    <x v="0"/>
    <x v="1"/>
    <n v="28.5"/>
    <n v="57"/>
    <x v="42"/>
    <x v="6"/>
    <d v="2025-02-14T00:00:00"/>
    <x v="1"/>
    <x v="1"/>
    <x v="1"/>
    <x v="3"/>
    <x v="1"/>
    <x v="0"/>
    <x v="3"/>
  </r>
  <r>
    <x v="1090"/>
    <x v="2"/>
    <x v="28"/>
    <n v="106.6"/>
    <n v="2132"/>
    <x v="42"/>
    <x v="6"/>
    <d v="2025-02-13T00:00:00"/>
    <x v="3"/>
    <x v="0"/>
    <x v="0"/>
    <x v="1"/>
    <x v="4"/>
    <x v="0"/>
    <x v="3"/>
  </r>
  <r>
    <x v="1091"/>
    <x v="2"/>
    <x v="2"/>
    <n v="119.7"/>
    <n v="359.1"/>
    <x v="42"/>
    <x v="6"/>
    <d v="2025-02-13T00:00:00"/>
    <x v="3"/>
    <x v="2"/>
    <x v="2"/>
    <x v="1"/>
    <x v="4"/>
    <x v="0"/>
    <x v="3"/>
  </r>
  <r>
    <x v="1092"/>
    <x v="18"/>
    <x v="0"/>
    <n v="73.3"/>
    <n v="73.3"/>
    <x v="42"/>
    <x v="6"/>
    <d v="2025-02-17T00:00:00"/>
    <x v="0"/>
    <x v="2"/>
    <x v="2"/>
    <x v="0"/>
    <x v="2"/>
    <x v="0"/>
    <x v="3"/>
  </r>
  <r>
    <x v="1093"/>
    <x v="0"/>
    <x v="1"/>
    <n v="25.8"/>
    <n v="51.6"/>
    <x v="42"/>
    <x v="6"/>
    <d v="2025-02-26T00:00:00"/>
    <x v="12"/>
    <x v="1"/>
    <x v="1"/>
    <x v="2"/>
    <x v="0"/>
    <x v="0"/>
    <x v="3"/>
  </r>
  <r>
    <x v="1094"/>
    <x v="17"/>
    <x v="2"/>
    <n v="49.1"/>
    <n v="147.30000000000001"/>
    <x v="42"/>
    <x v="6"/>
    <d v="2025-02-14T00:00:00"/>
    <x v="1"/>
    <x v="2"/>
    <x v="2"/>
    <x v="0"/>
    <x v="0"/>
    <x v="0"/>
    <x v="24"/>
  </r>
  <r>
    <x v="1095"/>
    <x v="1"/>
    <x v="0"/>
    <n v="44.9"/>
    <n v="44.9"/>
    <x v="42"/>
    <x v="6"/>
    <d v="2025-02-15T00:00:00"/>
    <x v="2"/>
    <x v="2"/>
    <x v="2"/>
    <x v="3"/>
    <x v="2"/>
    <x v="0"/>
    <x v="6"/>
  </r>
  <r>
    <x v="1096"/>
    <x v="15"/>
    <x v="3"/>
    <n v="29.9"/>
    <n v="209.29999999999998"/>
    <x v="42"/>
    <x v="6"/>
    <d v="2025-02-13T00:00:00"/>
    <x v="3"/>
    <x v="2"/>
    <x v="2"/>
    <x v="0"/>
    <x v="0"/>
    <x v="0"/>
    <x v="6"/>
  </r>
  <r>
    <x v="1097"/>
    <x v="7"/>
    <x v="1"/>
    <n v="54.3"/>
    <n v="108.6"/>
    <x v="43"/>
    <x v="6"/>
    <d v="2025-02-14T00:00:00"/>
    <x v="3"/>
    <x v="1"/>
    <x v="1"/>
    <x v="3"/>
    <x v="0"/>
    <x v="0"/>
    <x v="36"/>
  </r>
  <r>
    <x v="1098"/>
    <x v="9"/>
    <x v="12"/>
    <n v="57"/>
    <n v="228"/>
    <x v="43"/>
    <x v="6"/>
    <d v="2025-02-15T00:00:00"/>
    <x v="1"/>
    <x v="2"/>
    <x v="2"/>
    <x v="0"/>
    <x v="0"/>
    <x v="0"/>
    <x v="8"/>
  </r>
  <r>
    <x v="1099"/>
    <x v="2"/>
    <x v="0"/>
    <n v="139.19999999999999"/>
    <n v="139.19999999999999"/>
    <x v="43"/>
    <x v="6"/>
    <d v="2025-02-14T00:00:00"/>
    <x v="3"/>
    <x v="2"/>
    <x v="2"/>
    <x v="3"/>
    <x v="2"/>
    <x v="0"/>
    <x v="8"/>
  </r>
  <r>
    <x v="1100"/>
    <x v="10"/>
    <x v="0"/>
    <n v="33"/>
    <n v="33"/>
    <x v="43"/>
    <x v="6"/>
    <d v="2025-02-16T00:00:00"/>
    <x v="2"/>
    <x v="2"/>
    <x v="2"/>
    <x v="0"/>
    <x v="2"/>
    <x v="0"/>
    <x v="8"/>
  </r>
  <r>
    <x v="1101"/>
    <x v="11"/>
    <x v="13"/>
    <n v="80.2"/>
    <n v="481.20000000000005"/>
    <x v="43"/>
    <x v="6"/>
    <d v="2025-02-15T00:00:00"/>
    <x v="1"/>
    <x v="1"/>
    <x v="1"/>
    <x v="1"/>
    <x v="4"/>
    <x v="0"/>
    <x v="8"/>
  </r>
  <r>
    <x v="1102"/>
    <x v="18"/>
    <x v="8"/>
    <n v="49"/>
    <n v="392"/>
    <x v="43"/>
    <x v="6"/>
    <d v="2025-02-14T00:00:00"/>
    <x v="3"/>
    <x v="0"/>
    <x v="0"/>
    <x v="2"/>
    <x v="1"/>
    <x v="0"/>
    <x v="9"/>
  </r>
  <r>
    <x v="1103"/>
    <x v="1"/>
    <x v="12"/>
    <n v="104.4"/>
    <n v="417.6"/>
    <x v="43"/>
    <x v="6"/>
    <d v="2025-02-13T00:00:00"/>
    <x v="7"/>
    <x v="2"/>
    <x v="2"/>
    <x v="0"/>
    <x v="0"/>
    <x v="0"/>
    <x v="9"/>
  </r>
  <r>
    <x v="1104"/>
    <x v="3"/>
    <x v="0"/>
    <n v="41.6"/>
    <n v="41.6"/>
    <x v="43"/>
    <x v="6"/>
    <d v="2025-02-16T00:00:00"/>
    <x v="2"/>
    <x v="1"/>
    <x v="1"/>
    <x v="3"/>
    <x v="0"/>
    <x v="0"/>
    <x v="11"/>
  </r>
  <r>
    <x v="1105"/>
    <x v="19"/>
    <x v="1"/>
    <n v="16.399999999999999"/>
    <n v="32.799999999999997"/>
    <x v="43"/>
    <x v="6"/>
    <d v="2025-02-14T00:00:00"/>
    <x v="3"/>
    <x v="3"/>
    <x v="3"/>
    <x v="0"/>
    <x v="2"/>
    <x v="0"/>
    <x v="11"/>
  </r>
  <r>
    <x v="1106"/>
    <x v="8"/>
    <x v="1"/>
    <n v="22"/>
    <n v="44"/>
    <x v="43"/>
    <x v="6"/>
    <d v="2025-02-14T00:00:00"/>
    <x v="3"/>
    <x v="1"/>
    <x v="1"/>
    <x v="2"/>
    <x v="2"/>
    <x v="0"/>
    <x v="53"/>
  </r>
  <r>
    <x v="1107"/>
    <x v="15"/>
    <x v="1"/>
    <n v="33.6"/>
    <n v="67.2"/>
    <x v="43"/>
    <x v="6"/>
    <d v="2025-02-18T00:00:00"/>
    <x v="0"/>
    <x v="2"/>
    <x v="2"/>
    <x v="0"/>
    <x v="0"/>
    <x v="0"/>
    <x v="21"/>
  </r>
  <r>
    <x v="1108"/>
    <x v="11"/>
    <x v="13"/>
    <n v="43"/>
    <n v="258"/>
    <x v="43"/>
    <x v="6"/>
    <d v="2025-02-14T00:00:00"/>
    <x v="3"/>
    <x v="2"/>
    <x v="2"/>
    <x v="2"/>
    <x v="0"/>
    <x v="0"/>
    <x v="21"/>
  </r>
  <r>
    <x v="1109"/>
    <x v="6"/>
    <x v="9"/>
    <n v="108.8"/>
    <n v="544"/>
    <x v="43"/>
    <x v="6"/>
    <d v="2025-02-16T00:00:00"/>
    <x v="2"/>
    <x v="2"/>
    <x v="2"/>
    <x v="4"/>
    <x v="2"/>
    <x v="0"/>
    <x v="21"/>
  </r>
  <r>
    <x v="1110"/>
    <x v="0"/>
    <x v="11"/>
    <n v="29.3"/>
    <n v="263.7"/>
    <x v="43"/>
    <x v="6"/>
    <d v="2025-02-15T00:00:00"/>
    <x v="1"/>
    <x v="1"/>
    <x v="1"/>
    <x v="4"/>
    <x v="2"/>
    <x v="0"/>
    <x v="21"/>
  </r>
  <r>
    <x v="1111"/>
    <x v="2"/>
    <x v="0"/>
    <n v="122.7"/>
    <n v="122.7"/>
    <x v="43"/>
    <x v="6"/>
    <d v="2025-02-16T00:00:00"/>
    <x v="2"/>
    <x v="3"/>
    <x v="3"/>
    <x v="0"/>
    <x v="2"/>
    <x v="0"/>
    <x v="1"/>
  </r>
  <r>
    <x v="1112"/>
    <x v="4"/>
    <x v="3"/>
    <n v="22.9"/>
    <n v="160.29999999999998"/>
    <x v="43"/>
    <x v="6"/>
    <d v="2025-02-14T00:00:00"/>
    <x v="3"/>
    <x v="2"/>
    <x v="2"/>
    <x v="0"/>
    <x v="0"/>
    <x v="0"/>
    <x v="42"/>
  </r>
  <r>
    <x v="1113"/>
    <x v="8"/>
    <x v="7"/>
    <n v="25.5"/>
    <n v="255"/>
    <x v="43"/>
    <x v="6"/>
    <d v="2025-02-20T00:00:00"/>
    <x v="6"/>
    <x v="2"/>
    <x v="2"/>
    <x v="0"/>
    <x v="0"/>
    <x v="0"/>
    <x v="33"/>
  </r>
  <r>
    <x v="1114"/>
    <x v="17"/>
    <x v="2"/>
    <n v="23.4"/>
    <n v="70.199999999999989"/>
    <x v="43"/>
    <x v="6"/>
    <d v="2025-02-17T00:00:00"/>
    <x v="5"/>
    <x v="2"/>
    <x v="2"/>
    <x v="0"/>
    <x v="2"/>
    <x v="0"/>
    <x v="3"/>
  </r>
  <r>
    <x v="1115"/>
    <x v="5"/>
    <x v="8"/>
    <n v="27.4"/>
    <n v="219.2"/>
    <x v="43"/>
    <x v="6"/>
    <d v="2025-02-16T00:00:00"/>
    <x v="2"/>
    <x v="2"/>
    <x v="2"/>
    <x v="2"/>
    <x v="0"/>
    <x v="0"/>
    <x v="3"/>
  </r>
  <r>
    <x v="1116"/>
    <x v="5"/>
    <x v="9"/>
    <n v="68.400000000000006"/>
    <n v="342"/>
    <x v="43"/>
    <x v="6"/>
    <d v="2025-02-14T00:00:00"/>
    <x v="3"/>
    <x v="2"/>
    <x v="2"/>
    <x v="0"/>
    <x v="0"/>
    <x v="0"/>
    <x v="3"/>
  </r>
  <r>
    <x v="1117"/>
    <x v="6"/>
    <x v="0"/>
    <n v="51.9"/>
    <n v="51.9"/>
    <x v="43"/>
    <x v="6"/>
    <d v="2025-02-13T00:00:00"/>
    <x v="7"/>
    <x v="2"/>
    <x v="2"/>
    <x v="0"/>
    <x v="0"/>
    <x v="0"/>
    <x v="3"/>
  </r>
  <r>
    <x v="1118"/>
    <x v="0"/>
    <x v="9"/>
    <n v="26.4"/>
    <n v="132"/>
    <x v="43"/>
    <x v="6"/>
    <d v="2025-02-16T00:00:00"/>
    <x v="2"/>
    <x v="2"/>
    <x v="2"/>
    <x v="0"/>
    <x v="2"/>
    <x v="0"/>
    <x v="3"/>
  </r>
  <r>
    <x v="1119"/>
    <x v="12"/>
    <x v="1"/>
    <n v="117"/>
    <n v="234"/>
    <x v="43"/>
    <x v="6"/>
    <d v="2025-02-14T00:00:00"/>
    <x v="3"/>
    <x v="2"/>
    <x v="2"/>
    <x v="1"/>
    <x v="1"/>
    <x v="0"/>
    <x v="3"/>
  </r>
  <r>
    <x v="1120"/>
    <x v="7"/>
    <x v="2"/>
    <n v="49.6"/>
    <n v="148.80000000000001"/>
    <x v="44"/>
    <x v="6"/>
    <d v="2025-02-16T00:00:00"/>
    <x v="1"/>
    <x v="2"/>
    <x v="2"/>
    <x v="0"/>
    <x v="0"/>
    <x v="0"/>
    <x v="3"/>
  </r>
  <r>
    <x v="1121"/>
    <x v="4"/>
    <x v="2"/>
    <n v="38"/>
    <n v="114"/>
    <x v="44"/>
    <x v="6"/>
    <d v="2025-02-17T00:00:00"/>
    <x v="2"/>
    <x v="1"/>
    <x v="1"/>
    <x v="2"/>
    <x v="4"/>
    <x v="0"/>
    <x v="3"/>
  </r>
  <r>
    <x v="1122"/>
    <x v="0"/>
    <x v="2"/>
    <n v="20.6"/>
    <n v="61.800000000000004"/>
    <x v="44"/>
    <x v="6"/>
    <d v="2025-02-16T00:00:00"/>
    <x v="1"/>
    <x v="2"/>
    <x v="2"/>
    <x v="4"/>
    <x v="2"/>
    <x v="0"/>
    <x v="3"/>
  </r>
  <r>
    <x v="1123"/>
    <x v="0"/>
    <x v="1"/>
    <n v="16"/>
    <n v="32"/>
    <x v="44"/>
    <x v="6"/>
    <d v="2025-02-15T00:00:00"/>
    <x v="3"/>
    <x v="1"/>
    <x v="1"/>
    <x v="1"/>
    <x v="1"/>
    <x v="0"/>
    <x v="49"/>
  </r>
  <r>
    <x v="1124"/>
    <x v="15"/>
    <x v="12"/>
    <n v="49.3"/>
    <n v="197.2"/>
    <x v="44"/>
    <x v="6"/>
    <d v="2025-02-15T00:00:00"/>
    <x v="3"/>
    <x v="2"/>
    <x v="2"/>
    <x v="2"/>
    <x v="0"/>
    <x v="0"/>
    <x v="23"/>
  </r>
  <r>
    <x v="1125"/>
    <x v="9"/>
    <x v="1"/>
    <n v="24.1"/>
    <n v="48.2"/>
    <x v="44"/>
    <x v="6"/>
    <d v="2025-02-18T00:00:00"/>
    <x v="5"/>
    <x v="2"/>
    <x v="2"/>
    <x v="0"/>
    <x v="0"/>
    <x v="0"/>
    <x v="6"/>
  </r>
  <r>
    <x v="1126"/>
    <x v="15"/>
    <x v="8"/>
    <n v="32.700000000000003"/>
    <n v="261.60000000000002"/>
    <x v="44"/>
    <x v="6"/>
    <d v="2025-02-15T00:00:00"/>
    <x v="3"/>
    <x v="2"/>
    <x v="2"/>
    <x v="1"/>
    <x v="0"/>
    <x v="0"/>
    <x v="6"/>
  </r>
  <r>
    <x v="1127"/>
    <x v="6"/>
    <x v="2"/>
    <n v="74.400000000000006"/>
    <n v="223.20000000000002"/>
    <x v="44"/>
    <x v="6"/>
    <d v="2025-02-15T00:00:00"/>
    <x v="3"/>
    <x v="2"/>
    <x v="2"/>
    <x v="3"/>
    <x v="2"/>
    <x v="0"/>
    <x v="8"/>
  </r>
  <r>
    <x v="1128"/>
    <x v="12"/>
    <x v="0"/>
    <n v="45.6"/>
    <n v="45.6"/>
    <x v="44"/>
    <x v="6"/>
    <d v="2025-02-18T00:00:00"/>
    <x v="5"/>
    <x v="2"/>
    <x v="2"/>
    <x v="4"/>
    <x v="0"/>
    <x v="0"/>
    <x v="8"/>
  </r>
  <r>
    <x v="1129"/>
    <x v="8"/>
    <x v="8"/>
    <n v="19.600000000000001"/>
    <n v="156.80000000000001"/>
    <x v="44"/>
    <x v="6"/>
    <d v="2025-02-27T00:00:00"/>
    <x v="10"/>
    <x v="2"/>
    <x v="2"/>
    <x v="0"/>
    <x v="0"/>
    <x v="0"/>
    <x v="8"/>
  </r>
  <r>
    <x v="1130"/>
    <x v="9"/>
    <x v="0"/>
    <n v="51.8"/>
    <n v="51.8"/>
    <x v="44"/>
    <x v="6"/>
    <d v="2025-02-15T00:00:00"/>
    <x v="3"/>
    <x v="2"/>
    <x v="2"/>
    <x v="1"/>
    <x v="0"/>
    <x v="0"/>
    <x v="8"/>
  </r>
  <r>
    <x v="1131"/>
    <x v="6"/>
    <x v="0"/>
    <n v="74.7"/>
    <n v="74.7"/>
    <x v="44"/>
    <x v="6"/>
    <d v="2025-02-15T00:00:00"/>
    <x v="3"/>
    <x v="1"/>
    <x v="1"/>
    <x v="0"/>
    <x v="1"/>
    <x v="0"/>
    <x v="8"/>
  </r>
  <r>
    <x v="1132"/>
    <x v="19"/>
    <x v="2"/>
    <n v="22.4"/>
    <n v="67.199999999999989"/>
    <x v="44"/>
    <x v="6"/>
    <d v="2025-02-15T00:00:00"/>
    <x v="3"/>
    <x v="2"/>
    <x v="2"/>
    <x v="1"/>
    <x v="2"/>
    <x v="0"/>
    <x v="9"/>
  </r>
  <r>
    <x v="1133"/>
    <x v="1"/>
    <x v="12"/>
    <n v="31.4"/>
    <n v="125.6"/>
    <x v="44"/>
    <x v="6"/>
    <d v="2025-02-15T00:00:00"/>
    <x v="3"/>
    <x v="2"/>
    <x v="2"/>
    <x v="1"/>
    <x v="0"/>
    <x v="0"/>
    <x v="9"/>
  </r>
  <r>
    <x v="1134"/>
    <x v="6"/>
    <x v="0"/>
    <n v="94"/>
    <n v="94"/>
    <x v="44"/>
    <x v="6"/>
    <d v="2025-02-14T00:00:00"/>
    <x v="7"/>
    <x v="2"/>
    <x v="2"/>
    <x v="1"/>
    <x v="2"/>
    <x v="0"/>
    <x v="10"/>
  </r>
  <r>
    <x v="1135"/>
    <x v="10"/>
    <x v="0"/>
    <n v="22.3"/>
    <n v="22.3"/>
    <x v="44"/>
    <x v="6"/>
    <d v="2025-02-15T00:00:00"/>
    <x v="3"/>
    <x v="1"/>
    <x v="1"/>
    <x v="4"/>
    <x v="0"/>
    <x v="0"/>
    <x v="20"/>
  </r>
  <r>
    <x v="1136"/>
    <x v="0"/>
    <x v="0"/>
    <n v="21.9"/>
    <n v="21.9"/>
    <x v="44"/>
    <x v="6"/>
    <d v="2025-02-17T00:00:00"/>
    <x v="2"/>
    <x v="2"/>
    <x v="2"/>
    <x v="2"/>
    <x v="0"/>
    <x v="0"/>
    <x v="21"/>
  </r>
  <r>
    <x v="1137"/>
    <x v="17"/>
    <x v="2"/>
    <n v="27"/>
    <n v="81"/>
    <x v="44"/>
    <x v="6"/>
    <d v="2025-02-16T00:00:00"/>
    <x v="1"/>
    <x v="2"/>
    <x v="2"/>
    <x v="4"/>
    <x v="2"/>
    <x v="0"/>
    <x v="2"/>
  </r>
  <r>
    <x v="1138"/>
    <x v="2"/>
    <x v="12"/>
    <n v="149.6"/>
    <n v="598.4"/>
    <x v="44"/>
    <x v="6"/>
    <d v="2025-02-14T00:00:00"/>
    <x v="7"/>
    <x v="2"/>
    <x v="2"/>
    <x v="4"/>
    <x v="0"/>
    <x v="0"/>
    <x v="22"/>
  </r>
  <r>
    <x v="1139"/>
    <x v="2"/>
    <x v="12"/>
    <n v="129.1"/>
    <n v="516.4"/>
    <x v="44"/>
    <x v="6"/>
    <d v="2025-02-24T00:00:00"/>
    <x v="14"/>
    <x v="1"/>
    <x v="1"/>
    <x v="0"/>
    <x v="1"/>
    <x v="0"/>
    <x v="3"/>
  </r>
  <r>
    <x v="1140"/>
    <x v="1"/>
    <x v="4"/>
    <n v="40.4"/>
    <n v="484.79999999999995"/>
    <x v="44"/>
    <x v="6"/>
    <d v="2025-02-15T00:00:00"/>
    <x v="3"/>
    <x v="1"/>
    <x v="1"/>
    <x v="1"/>
    <x v="1"/>
    <x v="0"/>
    <x v="3"/>
  </r>
  <r>
    <x v="1141"/>
    <x v="4"/>
    <x v="2"/>
    <n v="48.5"/>
    <n v="145.5"/>
    <x v="44"/>
    <x v="6"/>
    <d v="2025-02-16T00:00:00"/>
    <x v="1"/>
    <x v="2"/>
    <x v="2"/>
    <x v="0"/>
    <x v="4"/>
    <x v="0"/>
    <x v="3"/>
  </r>
  <r>
    <x v="1142"/>
    <x v="9"/>
    <x v="1"/>
    <n v="37.6"/>
    <n v="75.2"/>
    <x v="44"/>
    <x v="6"/>
    <d v="2025-02-16T00:00:00"/>
    <x v="1"/>
    <x v="2"/>
    <x v="2"/>
    <x v="1"/>
    <x v="2"/>
    <x v="0"/>
    <x v="3"/>
  </r>
  <r>
    <x v="1143"/>
    <x v="8"/>
    <x v="1"/>
    <n v="19.600000000000001"/>
    <n v="39.200000000000003"/>
    <x v="44"/>
    <x v="6"/>
    <d v="2025-02-15T00:00:00"/>
    <x v="3"/>
    <x v="1"/>
    <x v="1"/>
    <x v="3"/>
    <x v="4"/>
    <x v="0"/>
    <x v="43"/>
  </r>
  <r>
    <x v="1144"/>
    <x v="8"/>
    <x v="9"/>
    <n v="18.5"/>
    <n v="92.5"/>
    <x v="44"/>
    <x v="6"/>
    <d v="2025-02-15T00:00:00"/>
    <x v="3"/>
    <x v="2"/>
    <x v="2"/>
    <x v="2"/>
    <x v="1"/>
    <x v="0"/>
    <x v="6"/>
  </r>
  <r>
    <x v="1145"/>
    <x v="5"/>
    <x v="2"/>
    <n v="25.5"/>
    <n v="76.5"/>
    <x v="44"/>
    <x v="6"/>
    <d v="2025-02-16T00:00:00"/>
    <x v="1"/>
    <x v="2"/>
    <x v="2"/>
    <x v="4"/>
    <x v="1"/>
    <x v="0"/>
    <x v="6"/>
  </r>
  <r>
    <x v="1146"/>
    <x v="2"/>
    <x v="1"/>
    <n v="94.7"/>
    <n v="189.4"/>
    <x v="44"/>
    <x v="6"/>
    <d v="2025-02-15T00:00:00"/>
    <x v="3"/>
    <x v="2"/>
    <x v="2"/>
    <x v="2"/>
    <x v="0"/>
    <x v="0"/>
    <x v="36"/>
  </r>
  <r>
    <x v="1147"/>
    <x v="1"/>
    <x v="13"/>
    <n v="38.799999999999997"/>
    <n v="232.79999999999998"/>
    <x v="44"/>
    <x v="6"/>
    <d v="2025-02-19T00:00:00"/>
    <x v="0"/>
    <x v="2"/>
    <x v="2"/>
    <x v="2"/>
    <x v="2"/>
    <x v="0"/>
    <x v="8"/>
  </r>
  <r>
    <x v="1148"/>
    <x v="9"/>
    <x v="1"/>
    <n v="49.4"/>
    <n v="98.8"/>
    <x v="45"/>
    <x v="6"/>
    <d v="2025-02-23T00:00:00"/>
    <x v="9"/>
    <x v="1"/>
    <x v="1"/>
    <x v="4"/>
    <x v="1"/>
    <x v="0"/>
    <x v="8"/>
  </r>
  <r>
    <x v="1149"/>
    <x v="7"/>
    <x v="2"/>
    <n v="68"/>
    <n v="204"/>
    <x v="45"/>
    <x v="6"/>
    <d v="2025-02-18T00:00:00"/>
    <x v="2"/>
    <x v="1"/>
    <x v="1"/>
    <x v="0"/>
    <x v="2"/>
    <x v="0"/>
    <x v="8"/>
  </r>
  <r>
    <x v="1150"/>
    <x v="15"/>
    <x v="3"/>
    <n v="63.7"/>
    <n v="445.90000000000003"/>
    <x v="45"/>
    <x v="6"/>
    <d v="2025-02-16T00:00:00"/>
    <x v="3"/>
    <x v="2"/>
    <x v="2"/>
    <x v="2"/>
    <x v="2"/>
    <x v="0"/>
    <x v="8"/>
  </r>
  <r>
    <x v="1151"/>
    <x v="10"/>
    <x v="1"/>
    <n v="66.2"/>
    <n v="132.4"/>
    <x v="45"/>
    <x v="6"/>
    <d v="2025-02-16T00:00:00"/>
    <x v="3"/>
    <x v="2"/>
    <x v="2"/>
    <x v="4"/>
    <x v="2"/>
    <x v="0"/>
    <x v="17"/>
  </r>
  <r>
    <x v="1152"/>
    <x v="12"/>
    <x v="2"/>
    <n v="32.299999999999997"/>
    <n v="96.899999999999991"/>
    <x v="45"/>
    <x v="6"/>
    <d v="2025-02-16T00:00:00"/>
    <x v="3"/>
    <x v="3"/>
    <x v="3"/>
    <x v="2"/>
    <x v="1"/>
    <x v="0"/>
    <x v="9"/>
  </r>
  <r>
    <x v="1153"/>
    <x v="4"/>
    <x v="1"/>
    <n v="66.900000000000006"/>
    <n v="133.80000000000001"/>
    <x v="45"/>
    <x v="6"/>
    <d v="2025-02-18T00:00:00"/>
    <x v="2"/>
    <x v="1"/>
    <x v="1"/>
    <x v="1"/>
    <x v="0"/>
    <x v="0"/>
    <x v="11"/>
  </r>
  <r>
    <x v="1154"/>
    <x v="4"/>
    <x v="4"/>
    <n v="25.2"/>
    <n v="302.39999999999998"/>
    <x v="45"/>
    <x v="6"/>
    <d v="2025-02-19T00:00:00"/>
    <x v="5"/>
    <x v="2"/>
    <x v="2"/>
    <x v="0"/>
    <x v="1"/>
    <x v="0"/>
    <x v="11"/>
  </r>
  <r>
    <x v="1155"/>
    <x v="10"/>
    <x v="13"/>
    <n v="29.5"/>
    <n v="177"/>
    <x v="45"/>
    <x v="6"/>
    <d v="2025-02-16T00:00:00"/>
    <x v="3"/>
    <x v="1"/>
    <x v="1"/>
    <x v="2"/>
    <x v="0"/>
    <x v="0"/>
    <x v="11"/>
  </r>
  <r>
    <x v="1156"/>
    <x v="8"/>
    <x v="9"/>
    <n v="21.6"/>
    <n v="108"/>
    <x v="45"/>
    <x v="6"/>
    <d v="2025-02-17T00:00:00"/>
    <x v="1"/>
    <x v="2"/>
    <x v="2"/>
    <x v="0"/>
    <x v="2"/>
    <x v="0"/>
    <x v="32"/>
  </r>
  <r>
    <x v="1157"/>
    <x v="12"/>
    <x v="2"/>
    <n v="69"/>
    <n v="207"/>
    <x v="45"/>
    <x v="6"/>
    <d v="2025-02-16T00:00:00"/>
    <x v="3"/>
    <x v="2"/>
    <x v="2"/>
    <x v="0"/>
    <x v="0"/>
    <x v="0"/>
    <x v="18"/>
  </r>
  <r>
    <x v="1158"/>
    <x v="7"/>
    <x v="1"/>
    <n v="115"/>
    <n v="230"/>
    <x v="45"/>
    <x v="6"/>
    <d v="2025-02-19T00:00:00"/>
    <x v="5"/>
    <x v="1"/>
    <x v="1"/>
    <x v="0"/>
    <x v="2"/>
    <x v="0"/>
    <x v="18"/>
  </r>
  <r>
    <x v="1159"/>
    <x v="2"/>
    <x v="1"/>
    <n v="109.3"/>
    <n v="218.6"/>
    <x v="45"/>
    <x v="6"/>
    <d v="2025-02-17T00:00:00"/>
    <x v="1"/>
    <x v="0"/>
    <x v="0"/>
    <x v="3"/>
    <x v="1"/>
    <x v="0"/>
    <x v="19"/>
  </r>
  <r>
    <x v="1160"/>
    <x v="9"/>
    <x v="1"/>
    <n v="66.599999999999994"/>
    <n v="133.19999999999999"/>
    <x v="45"/>
    <x v="6"/>
    <d v="2025-02-18T00:00:00"/>
    <x v="2"/>
    <x v="0"/>
    <x v="0"/>
    <x v="4"/>
    <x v="1"/>
    <x v="0"/>
    <x v="19"/>
  </r>
  <r>
    <x v="1161"/>
    <x v="12"/>
    <x v="9"/>
    <n v="47.7"/>
    <n v="238.5"/>
    <x v="45"/>
    <x v="6"/>
    <d v="2025-02-16T00:00:00"/>
    <x v="3"/>
    <x v="1"/>
    <x v="1"/>
    <x v="3"/>
    <x v="2"/>
    <x v="0"/>
    <x v="21"/>
  </r>
  <r>
    <x v="1162"/>
    <x v="8"/>
    <x v="1"/>
    <n v="46"/>
    <n v="92"/>
    <x v="45"/>
    <x v="6"/>
    <d v="2025-02-16T00:00:00"/>
    <x v="3"/>
    <x v="2"/>
    <x v="2"/>
    <x v="4"/>
    <x v="4"/>
    <x v="0"/>
    <x v="22"/>
  </r>
  <r>
    <x v="1163"/>
    <x v="1"/>
    <x v="13"/>
    <n v="39.299999999999997"/>
    <n v="235.79999999999998"/>
    <x v="45"/>
    <x v="6"/>
    <d v="2025-02-17T00:00:00"/>
    <x v="1"/>
    <x v="1"/>
    <x v="1"/>
    <x v="3"/>
    <x v="2"/>
    <x v="0"/>
    <x v="3"/>
  </r>
  <r>
    <x v="1164"/>
    <x v="9"/>
    <x v="0"/>
    <n v="70.2"/>
    <n v="70.2"/>
    <x v="45"/>
    <x v="6"/>
    <d v="2025-02-16T00:00:00"/>
    <x v="3"/>
    <x v="2"/>
    <x v="2"/>
    <x v="0"/>
    <x v="4"/>
    <x v="0"/>
    <x v="3"/>
  </r>
  <r>
    <x v="1165"/>
    <x v="3"/>
    <x v="12"/>
    <n v="71.5"/>
    <n v="286"/>
    <x v="45"/>
    <x v="6"/>
    <d v="2025-02-15T00:00:00"/>
    <x v="7"/>
    <x v="2"/>
    <x v="2"/>
    <x v="1"/>
    <x v="2"/>
    <x v="0"/>
    <x v="3"/>
  </r>
  <r>
    <x v="1166"/>
    <x v="10"/>
    <x v="3"/>
    <n v="31"/>
    <n v="217"/>
    <x v="45"/>
    <x v="6"/>
    <d v="2025-02-22T00:00:00"/>
    <x v="6"/>
    <x v="2"/>
    <x v="2"/>
    <x v="3"/>
    <x v="2"/>
    <x v="0"/>
    <x v="3"/>
  </r>
  <r>
    <x v="1167"/>
    <x v="2"/>
    <x v="9"/>
    <n v="68.2"/>
    <n v="341"/>
    <x v="45"/>
    <x v="6"/>
    <d v="2025-02-20T00:00:00"/>
    <x v="0"/>
    <x v="2"/>
    <x v="2"/>
    <x v="0"/>
    <x v="2"/>
    <x v="0"/>
    <x v="3"/>
  </r>
  <r>
    <x v="1168"/>
    <x v="2"/>
    <x v="0"/>
    <n v="91.4"/>
    <n v="91.4"/>
    <x v="45"/>
    <x v="6"/>
    <d v="2025-02-19T00:00:00"/>
    <x v="5"/>
    <x v="2"/>
    <x v="2"/>
    <x v="1"/>
    <x v="2"/>
    <x v="0"/>
    <x v="6"/>
  </r>
  <r>
    <x v="1169"/>
    <x v="6"/>
    <x v="7"/>
    <n v="112.9"/>
    <n v="1129"/>
    <x v="45"/>
    <x v="6"/>
    <d v="2025-02-16T00:00:00"/>
    <x v="3"/>
    <x v="2"/>
    <x v="2"/>
    <x v="0"/>
    <x v="0"/>
    <x v="0"/>
    <x v="6"/>
  </r>
  <r>
    <x v="1170"/>
    <x v="17"/>
    <x v="11"/>
    <n v="33.700000000000003"/>
    <n v="303.3"/>
    <x v="45"/>
    <x v="6"/>
    <d v="2025-02-16T00:00:00"/>
    <x v="3"/>
    <x v="2"/>
    <x v="2"/>
    <x v="1"/>
    <x v="2"/>
    <x v="0"/>
    <x v="8"/>
  </r>
  <r>
    <x v="1171"/>
    <x v="15"/>
    <x v="7"/>
    <n v="35.299999999999997"/>
    <n v="353"/>
    <x v="45"/>
    <x v="6"/>
    <d v="2025-02-17T00:00:00"/>
    <x v="1"/>
    <x v="1"/>
    <x v="1"/>
    <x v="2"/>
    <x v="0"/>
    <x v="0"/>
    <x v="8"/>
  </r>
  <r>
    <x v="1172"/>
    <x v="18"/>
    <x v="2"/>
    <n v="45.6"/>
    <n v="136.80000000000001"/>
    <x v="45"/>
    <x v="6"/>
    <d v="2025-02-19T00:00:00"/>
    <x v="5"/>
    <x v="1"/>
    <x v="1"/>
    <x v="3"/>
    <x v="0"/>
    <x v="0"/>
    <x v="8"/>
  </r>
  <r>
    <x v="1173"/>
    <x v="7"/>
    <x v="3"/>
    <n v="47.1"/>
    <n v="329.7"/>
    <x v="45"/>
    <x v="6"/>
    <d v="2025-02-16T00:00:00"/>
    <x v="3"/>
    <x v="2"/>
    <x v="2"/>
    <x v="4"/>
    <x v="2"/>
    <x v="0"/>
    <x v="9"/>
  </r>
  <r>
    <x v="1174"/>
    <x v="8"/>
    <x v="9"/>
    <n v="16.2"/>
    <n v="81"/>
    <x v="45"/>
    <x v="6"/>
    <d v="2025-02-17T00:00:00"/>
    <x v="1"/>
    <x v="2"/>
    <x v="2"/>
    <x v="3"/>
    <x v="2"/>
    <x v="0"/>
    <x v="19"/>
  </r>
  <r>
    <x v="1175"/>
    <x v="1"/>
    <x v="1"/>
    <n v="159.69999999999999"/>
    <n v="319.39999999999998"/>
    <x v="46"/>
    <x v="7"/>
    <d v="2025-02-17T00:00:00"/>
    <x v="3"/>
    <x v="1"/>
    <x v="1"/>
    <x v="4"/>
    <x v="0"/>
    <x v="0"/>
    <x v="13"/>
  </r>
  <r>
    <x v="1176"/>
    <x v="8"/>
    <x v="12"/>
    <n v="19"/>
    <n v="76"/>
    <x v="46"/>
    <x v="7"/>
    <d v="2025-02-23T00:00:00"/>
    <x v="6"/>
    <x v="2"/>
    <x v="2"/>
    <x v="2"/>
    <x v="2"/>
    <x v="0"/>
    <x v="21"/>
  </r>
  <r>
    <x v="1177"/>
    <x v="6"/>
    <x v="13"/>
    <n v="91.1"/>
    <n v="546.59999999999991"/>
    <x v="46"/>
    <x v="7"/>
    <d v="2025-02-25T00:00:00"/>
    <x v="8"/>
    <x v="2"/>
    <x v="2"/>
    <x v="4"/>
    <x v="0"/>
    <x v="0"/>
    <x v="21"/>
  </r>
  <r>
    <x v="1178"/>
    <x v="2"/>
    <x v="9"/>
    <n v="94.1"/>
    <n v="470.5"/>
    <x v="46"/>
    <x v="7"/>
    <d v="2025-02-19T00:00:00"/>
    <x v="2"/>
    <x v="0"/>
    <x v="0"/>
    <x v="1"/>
    <x v="1"/>
    <x v="0"/>
    <x v="21"/>
  </r>
  <r>
    <x v="1179"/>
    <x v="9"/>
    <x v="11"/>
    <n v="21.1"/>
    <n v="189.9"/>
    <x v="46"/>
    <x v="7"/>
    <d v="2025-02-17T00:00:00"/>
    <x v="3"/>
    <x v="2"/>
    <x v="2"/>
    <x v="4"/>
    <x v="2"/>
    <x v="0"/>
    <x v="51"/>
  </r>
  <r>
    <x v="1180"/>
    <x v="8"/>
    <x v="3"/>
    <n v="15.3"/>
    <n v="107.10000000000001"/>
    <x v="46"/>
    <x v="7"/>
    <d v="2025-02-24T00:00:00"/>
    <x v="9"/>
    <x v="2"/>
    <x v="2"/>
    <x v="2"/>
    <x v="0"/>
    <x v="0"/>
    <x v="1"/>
  </r>
  <r>
    <x v="1181"/>
    <x v="15"/>
    <x v="12"/>
    <n v="21.3"/>
    <n v="85.2"/>
    <x v="46"/>
    <x v="7"/>
    <d v="2025-02-19T00:00:00"/>
    <x v="2"/>
    <x v="1"/>
    <x v="1"/>
    <x v="1"/>
    <x v="0"/>
    <x v="0"/>
    <x v="3"/>
  </r>
  <r>
    <x v="1182"/>
    <x v="0"/>
    <x v="1"/>
    <n v="23.2"/>
    <n v="46.4"/>
    <x v="46"/>
    <x v="7"/>
    <d v="2025-02-16T00:00:00"/>
    <x v="7"/>
    <x v="0"/>
    <x v="0"/>
    <x v="3"/>
    <x v="1"/>
    <x v="0"/>
    <x v="3"/>
  </r>
  <r>
    <x v="1183"/>
    <x v="4"/>
    <x v="2"/>
    <n v="25.7"/>
    <n v="77.099999999999994"/>
    <x v="46"/>
    <x v="7"/>
    <d v="2025-02-17T00:00:00"/>
    <x v="3"/>
    <x v="1"/>
    <x v="1"/>
    <x v="4"/>
    <x v="0"/>
    <x v="0"/>
    <x v="3"/>
  </r>
  <r>
    <x v="1184"/>
    <x v="0"/>
    <x v="11"/>
    <n v="31.6"/>
    <n v="284.40000000000003"/>
    <x v="46"/>
    <x v="7"/>
    <d v="2025-02-18T00:00:00"/>
    <x v="1"/>
    <x v="2"/>
    <x v="2"/>
    <x v="0"/>
    <x v="0"/>
    <x v="0"/>
    <x v="3"/>
  </r>
  <r>
    <x v="1185"/>
    <x v="6"/>
    <x v="0"/>
    <n v="64.2"/>
    <n v="64.2"/>
    <x v="46"/>
    <x v="7"/>
    <d v="2025-02-21T00:00:00"/>
    <x v="0"/>
    <x v="1"/>
    <x v="1"/>
    <x v="0"/>
    <x v="0"/>
    <x v="0"/>
    <x v="3"/>
  </r>
  <r>
    <x v="1186"/>
    <x v="8"/>
    <x v="1"/>
    <n v="55.8"/>
    <n v="111.6"/>
    <x v="46"/>
    <x v="7"/>
    <d v="2025-02-18T00:00:00"/>
    <x v="1"/>
    <x v="0"/>
    <x v="0"/>
    <x v="0"/>
    <x v="0"/>
    <x v="0"/>
    <x v="3"/>
  </r>
  <r>
    <x v="1187"/>
    <x v="8"/>
    <x v="1"/>
    <n v="28.1"/>
    <n v="56.2"/>
    <x v="46"/>
    <x v="7"/>
    <d v="2025-02-17T00:00:00"/>
    <x v="3"/>
    <x v="2"/>
    <x v="2"/>
    <x v="4"/>
    <x v="1"/>
    <x v="0"/>
    <x v="3"/>
  </r>
  <r>
    <x v="1188"/>
    <x v="0"/>
    <x v="1"/>
    <n v="11.6"/>
    <n v="23.2"/>
    <x v="46"/>
    <x v="7"/>
    <d v="2025-02-18T00:00:00"/>
    <x v="1"/>
    <x v="2"/>
    <x v="2"/>
    <x v="1"/>
    <x v="0"/>
    <x v="0"/>
    <x v="24"/>
  </r>
  <r>
    <x v="1189"/>
    <x v="5"/>
    <x v="2"/>
    <n v="50.4"/>
    <n v="151.19999999999999"/>
    <x v="46"/>
    <x v="7"/>
    <d v="2025-02-17T00:00:00"/>
    <x v="3"/>
    <x v="1"/>
    <x v="1"/>
    <x v="4"/>
    <x v="2"/>
    <x v="0"/>
    <x v="25"/>
  </r>
  <r>
    <x v="1190"/>
    <x v="6"/>
    <x v="13"/>
    <n v="48.3"/>
    <n v="289.79999999999995"/>
    <x v="46"/>
    <x v="7"/>
    <d v="2025-02-20T00:00:00"/>
    <x v="5"/>
    <x v="2"/>
    <x v="2"/>
    <x v="0"/>
    <x v="0"/>
    <x v="0"/>
    <x v="25"/>
  </r>
  <r>
    <x v="1191"/>
    <x v="17"/>
    <x v="3"/>
    <n v="32.200000000000003"/>
    <n v="225.40000000000003"/>
    <x v="46"/>
    <x v="7"/>
    <d v="2025-02-18T00:00:00"/>
    <x v="1"/>
    <x v="2"/>
    <x v="2"/>
    <x v="2"/>
    <x v="0"/>
    <x v="0"/>
    <x v="25"/>
  </r>
  <r>
    <x v="1192"/>
    <x v="7"/>
    <x v="31"/>
    <n v="48.5"/>
    <n v="1358"/>
    <x v="46"/>
    <x v="7"/>
    <d v="2025-02-17T00:00:00"/>
    <x v="3"/>
    <x v="1"/>
    <x v="1"/>
    <x v="0"/>
    <x v="0"/>
    <x v="0"/>
    <x v="5"/>
  </r>
  <r>
    <x v="1193"/>
    <x v="2"/>
    <x v="9"/>
    <n v="62"/>
    <n v="310"/>
    <x v="46"/>
    <x v="7"/>
    <d v="2025-02-19T00:00:00"/>
    <x v="2"/>
    <x v="2"/>
    <x v="2"/>
    <x v="1"/>
    <x v="0"/>
    <x v="0"/>
    <x v="6"/>
  </r>
  <r>
    <x v="1194"/>
    <x v="8"/>
    <x v="2"/>
    <n v="32.1"/>
    <n v="96.300000000000011"/>
    <x v="47"/>
    <x v="7"/>
    <d v="2025-02-19T00:00:00"/>
    <x v="1"/>
    <x v="1"/>
    <x v="1"/>
    <x v="0"/>
    <x v="0"/>
    <x v="0"/>
    <x v="6"/>
  </r>
  <r>
    <x v="1195"/>
    <x v="12"/>
    <x v="2"/>
    <n v="106.1"/>
    <n v="318.29999999999995"/>
    <x v="47"/>
    <x v="7"/>
    <d v="2025-02-19T00:00:00"/>
    <x v="1"/>
    <x v="1"/>
    <x v="1"/>
    <x v="0"/>
    <x v="1"/>
    <x v="0"/>
    <x v="7"/>
  </r>
  <r>
    <x v="1196"/>
    <x v="10"/>
    <x v="2"/>
    <n v="23.5"/>
    <n v="70.5"/>
    <x v="47"/>
    <x v="7"/>
    <d v="2025-02-20T00:00:00"/>
    <x v="2"/>
    <x v="1"/>
    <x v="1"/>
    <x v="0"/>
    <x v="4"/>
    <x v="0"/>
    <x v="7"/>
  </r>
  <r>
    <x v="1197"/>
    <x v="1"/>
    <x v="1"/>
    <n v="35.6"/>
    <n v="71.2"/>
    <x v="47"/>
    <x v="7"/>
    <d v="2025-02-22T00:00:00"/>
    <x v="0"/>
    <x v="1"/>
    <x v="1"/>
    <x v="4"/>
    <x v="0"/>
    <x v="0"/>
    <x v="8"/>
  </r>
  <r>
    <x v="1198"/>
    <x v="1"/>
    <x v="1"/>
    <n v="63.5"/>
    <n v="127"/>
    <x v="47"/>
    <x v="7"/>
    <d v="2025-02-17T00:00:00"/>
    <x v="7"/>
    <x v="2"/>
    <x v="2"/>
    <x v="1"/>
    <x v="2"/>
    <x v="0"/>
    <x v="8"/>
  </r>
  <r>
    <x v="1199"/>
    <x v="6"/>
    <x v="3"/>
    <n v="82.9"/>
    <n v="580.30000000000007"/>
    <x v="47"/>
    <x v="7"/>
    <d v="2025-02-22T00:00:00"/>
    <x v="0"/>
    <x v="2"/>
    <x v="2"/>
    <x v="4"/>
    <x v="0"/>
    <x v="0"/>
    <x v="9"/>
  </r>
  <r>
    <x v="1200"/>
    <x v="6"/>
    <x v="1"/>
    <n v="83.6"/>
    <n v="167.2"/>
    <x v="47"/>
    <x v="7"/>
    <d v="2025-02-22T00:00:00"/>
    <x v="0"/>
    <x v="2"/>
    <x v="2"/>
    <x v="0"/>
    <x v="0"/>
    <x v="0"/>
    <x v="11"/>
  </r>
  <r>
    <x v="1201"/>
    <x v="4"/>
    <x v="1"/>
    <n v="29.4"/>
    <n v="58.8"/>
    <x v="47"/>
    <x v="7"/>
    <d v="2025-02-17T00:00:00"/>
    <x v="7"/>
    <x v="2"/>
    <x v="2"/>
    <x v="0"/>
    <x v="1"/>
    <x v="0"/>
    <x v="30"/>
  </r>
  <r>
    <x v="1202"/>
    <x v="2"/>
    <x v="2"/>
    <n v="107.1"/>
    <n v="321.29999999999995"/>
    <x v="47"/>
    <x v="7"/>
    <d v="2025-02-21T00:00:00"/>
    <x v="5"/>
    <x v="2"/>
    <x v="2"/>
    <x v="2"/>
    <x v="0"/>
    <x v="0"/>
    <x v="20"/>
  </r>
  <r>
    <x v="1203"/>
    <x v="2"/>
    <x v="0"/>
    <n v="62.7"/>
    <n v="62.7"/>
    <x v="47"/>
    <x v="7"/>
    <d v="2025-02-21T00:00:00"/>
    <x v="5"/>
    <x v="1"/>
    <x v="1"/>
    <x v="1"/>
    <x v="0"/>
    <x v="0"/>
    <x v="21"/>
  </r>
  <r>
    <x v="1204"/>
    <x v="11"/>
    <x v="0"/>
    <n v="41.6"/>
    <n v="41.6"/>
    <x v="47"/>
    <x v="7"/>
    <d v="2025-02-18T00:00:00"/>
    <x v="3"/>
    <x v="1"/>
    <x v="1"/>
    <x v="0"/>
    <x v="1"/>
    <x v="0"/>
    <x v="1"/>
  </r>
  <r>
    <x v="1205"/>
    <x v="6"/>
    <x v="0"/>
    <n v="44.2"/>
    <n v="44.2"/>
    <x v="47"/>
    <x v="7"/>
    <d v="2025-02-18T00:00:00"/>
    <x v="3"/>
    <x v="3"/>
    <x v="3"/>
    <x v="0"/>
    <x v="1"/>
    <x v="0"/>
    <x v="1"/>
  </r>
  <r>
    <x v="1206"/>
    <x v="4"/>
    <x v="13"/>
    <n v="40.4"/>
    <n v="242.39999999999998"/>
    <x v="47"/>
    <x v="7"/>
    <d v="2025-03-02T00:00:00"/>
    <x v="10"/>
    <x v="2"/>
    <x v="2"/>
    <x v="2"/>
    <x v="0"/>
    <x v="0"/>
    <x v="22"/>
  </r>
  <r>
    <x v="1207"/>
    <x v="15"/>
    <x v="13"/>
    <n v="59.6"/>
    <n v="357.6"/>
    <x v="47"/>
    <x v="7"/>
    <d v="2025-02-18T00:00:00"/>
    <x v="3"/>
    <x v="2"/>
    <x v="2"/>
    <x v="4"/>
    <x v="0"/>
    <x v="0"/>
    <x v="34"/>
  </r>
  <r>
    <x v="1208"/>
    <x v="17"/>
    <x v="4"/>
    <n v="63.8"/>
    <n v="765.59999999999991"/>
    <x v="47"/>
    <x v="7"/>
    <d v="2025-02-18T00:00:00"/>
    <x v="3"/>
    <x v="1"/>
    <x v="1"/>
    <x v="1"/>
    <x v="0"/>
    <x v="0"/>
    <x v="3"/>
  </r>
  <r>
    <x v="1209"/>
    <x v="9"/>
    <x v="13"/>
    <n v="30.8"/>
    <n v="184.8"/>
    <x v="47"/>
    <x v="7"/>
    <d v="2025-02-19T00:00:00"/>
    <x v="1"/>
    <x v="1"/>
    <x v="1"/>
    <x v="4"/>
    <x v="0"/>
    <x v="0"/>
    <x v="3"/>
  </r>
  <r>
    <x v="1210"/>
    <x v="1"/>
    <x v="1"/>
    <n v="41.5"/>
    <n v="83"/>
    <x v="47"/>
    <x v="7"/>
    <d v="2025-02-20T00:00:00"/>
    <x v="2"/>
    <x v="3"/>
    <x v="3"/>
    <x v="0"/>
    <x v="0"/>
    <x v="0"/>
    <x v="3"/>
  </r>
  <r>
    <x v="1211"/>
    <x v="10"/>
    <x v="12"/>
    <n v="44.7"/>
    <n v="178.8"/>
    <x v="47"/>
    <x v="7"/>
    <d v="2025-02-19T00:00:00"/>
    <x v="1"/>
    <x v="2"/>
    <x v="2"/>
    <x v="2"/>
    <x v="1"/>
    <x v="0"/>
    <x v="3"/>
  </r>
  <r>
    <x v="1212"/>
    <x v="12"/>
    <x v="1"/>
    <n v="64.099999999999994"/>
    <n v="128.19999999999999"/>
    <x v="47"/>
    <x v="7"/>
    <d v="2025-02-21T00:00:00"/>
    <x v="5"/>
    <x v="2"/>
    <x v="2"/>
    <x v="1"/>
    <x v="4"/>
    <x v="0"/>
    <x v="3"/>
  </r>
  <r>
    <x v="1213"/>
    <x v="8"/>
    <x v="0"/>
    <n v="15.9"/>
    <n v="15.9"/>
    <x v="47"/>
    <x v="7"/>
    <d v="2025-02-20T00:00:00"/>
    <x v="2"/>
    <x v="0"/>
    <x v="0"/>
    <x v="1"/>
    <x v="0"/>
    <x v="0"/>
    <x v="3"/>
  </r>
  <r>
    <x v="1214"/>
    <x v="6"/>
    <x v="1"/>
    <n v="78.7"/>
    <n v="157.4"/>
    <x v="47"/>
    <x v="7"/>
    <d v="2025-02-17T00:00:00"/>
    <x v="7"/>
    <x v="2"/>
    <x v="2"/>
    <x v="2"/>
    <x v="1"/>
    <x v="0"/>
    <x v="3"/>
  </r>
  <r>
    <x v="1215"/>
    <x v="5"/>
    <x v="4"/>
    <n v="29.6"/>
    <n v="355.20000000000005"/>
    <x v="47"/>
    <x v="7"/>
    <d v="2025-02-21T00:00:00"/>
    <x v="5"/>
    <x v="1"/>
    <x v="1"/>
    <x v="2"/>
    <x v="4"/>
    <x v="0"/>
    <x v="3"/>
  </r>
  <r>
    <x v="1216"/>
    <x v="8"/>
    <x v="12"/>
    <n v="21.5"/>
    <n v="86"/>
    <x v="47"/>
    <x v="7"/>
    <d v="2025-02-20T00:00:00"/>
    <x v="2"/>
    <x v="1"/>
    <x v="1"/>
    <x v="1"/>
    <x v="0"/>
    <x v="0"/>
    <x v="3"/>
  </r>
  <r>
    <x v="1217"/>
    <x v="9"/>
    <x v="2"/>
    <n v="74.900000000000006"/>
    <n v="224.70000000000002"/>
    <x v="47"/>
    <x v="7"/>
    <d v="2025-02-26T00:00:00"/>
    <x v="8"/>
    <x v="1"/>
    <x v="1"/>
    <x v="3"/>
    <x v="1"/>
    <x v="0"/>
    <x v="3"/>
  </r>
  <r>
    <x v="1218"/>
    <x v="10"/>
    <x v="13"/>
    <n v="45"/>
    <n v="270"/>
    <x v="47"/>
    <x v="7"/>
    <d v="2025-02-22T00:00:00"/>
    <x v="0"/>
    <x v="2"/>
    <x v="2"/>
    <x v="2"/>
    <x v="0"/>
    <x v="0"/>
    <x v="3"/>
  </r>
  <r>
    <x v="1219"/>
    <x v="7"/>
    <x v="33"/>
    <n v="37.9"/>
    <n v="1288.5999999999999"/>
    <x v="47"/>
    <x v="7"/>
    <d v="2025-02-18T00:00:00"/>
    <x v="3"/>
    <x v="1"/>
    <x v="1"/>
    <x v="0"/>
    <x v="0"/>
    <x v="0"/>
    <x v="3"/>
  </r>
  <r>
    <x v="1220"/>
    <x v="6"/>
    <x v="2"/>
    <n v="56.6"/>
    <n v="169.8"/>
    <x v="47"/>
    <x v="7"/>
    <d v="2025-02-18T00:00:00"/>
    <x v="3"/>
    <x v="1"/>
    <x v="1"/>
    <x v="3"/>
    <x v="0"/>
    <x v="0"/>
    <x v="3"/>
  </r>
  <r>
    <x v="1221"/>
    <x v="3"/>
    <x v="15"/>
    <n v="84.5"/>
    <n v="1098.5"/>
    <x v="47"/>
    <x v="7"/>
    <d v="2025-02-20T00:00:00"/>
    <x v="2"/>
    <x v="2"/>
    <x v="2"/>
    <x v="1"/>
    <x v="4"/>
    <x v="0"/>
    <x v="3"/>
  </r>
  <r>
    <x v="1222"/>
    <x v="2"/>
    <x v="9"/>
    <n v="105.4"/>
    <n v="527"/>
    <x v="47"/>
    <x v="7"/>
    <d v="2025-02-19T00:00:00"/>
    <x v="1"/>
    <x v="2"/>
    <x v="2"/>
    <x v="1"/>
    <x v="1"/>
    <x v="0"/>
    <x v="3"/>
  </r>
  <r>
    <x v="1223"/>
    <x v="18"/>
    <x v="3"/>
    <n v="39.4"/>
    <n v="275.8"/>
    <x v="48"/>
    <x v="7"/>
    <d v="2025-02-18T00:00:00"/>
    <x v="7"/>
    <x v="1"/>
    <x v="1"/>
    <x v="1"/>
    <x v="0"/>
    <x v="0"/>
    <x v="37"/>
  </r>
  <r>
    <x v="1224"/>
    <x v="19"/>
    <x v="2"/>
    <n v="38"/>
    <n v="114"/>
    <x v="48"/>
    <x v="7"/>
    <d v="2025-02-21T00:00:00"/>
    <x v="2"/>
    <x v="1"/>
    <x v="1"/>
    <x v="4"/>
    <x v="1"/>
    <x v="0"/>
    <x v="6"/>
  </r>
  <r>
    <x v="1225"/>
    <x v="17"/>
    <x v="12"/>
    <n v="42.5"/>
    <n v="170"/>
    <x v="48"/>
    <x v="7"/>
    <d v="2025-02-20T00:00:00"/>
    <x v="1"/>
    <x v="0"/>
    <x v="0"/>
    <x v="0"/>
    <x v="0"/>
    <x v="0"/>
    <x v="6"/>
  </r>
  <r>
    <x v="1226"/>
    <x v="15"/>
    <x v="0"/>
    <n v="62.3"/>
    <n v="62.3"/>
    <x v="48"/>
    <x v="7"/>
    <d v="2025-02-27T00:00:00"/>
    <x v="8"/>
    <x v="1"/>
    <x v="1"/>
    <x v="0"/>
    <x v="2"/>
    <x v="0"/>
    <x v="6"/>
  </r>
  <r>
    <x v="1227"/>
    <x v="6"/>
    <x v="9"/>
    <n v="49.1"/>
    <n v="245.5"/>
    <x v="48"/>
    <x v="7"/>
    <d v="2025-02-20T00:00:00"/>
    <x v="1"/>
    <x v="2"/>
    <x v="2"/>
    <x v="1"/>
    <x v="2"/>
    <x v="0"/>
    <x v="7"/>
  </r>
  <r>
    <x v="1228"/>
    <x v="3"/>
    <x v="1"/>
    <n v="30.5"/>
    <n v="61"/>
    <x v="48"/>
    <x v="7"/>
    <d v="2025-02-21T00:00:00"/>
    <x v="2"/>
    <x v="1"/>
    <x v="1"/>
    <x v="0"/>
    <x v="2"/>
    <x v="0"/>
    <x v="8"/>
  </r>
  <r>
    <x v="1229"/>
    <x v="2"/>
    <x v="1"/>
    <n v="154.80000000000001"/>
    <n v="309.60000000000002"/>
    <x v="48"/>
    <x v="7"/>
    <d v="2025-02-21T00:00:00"/>
    <x v="2"/>
    <x v="2"/>
    <x v="2"/>
    <x v="1"/>
    <x v="4"/>
    <x v="0"/>
    <x v="8"/>
  </r>
  <r>
    <x v="1230"/>
    <x v="6"/>
    <x v="0"/>
    <n v="45"/>
    <n v="45"/>
    <x v="48"/>
    <x v="7"/>
    <d v="2025-02-22T00:00:00"/>
    <x v="5"/>
    <x v="1"/>
    <x v="1"/>
    <x v="3"/>
    <x v="1"/>
    <x v="0"/>
    <x v="8"/>
  </r>
  <r>
    <x v="1231"/>
    <x v="0"/>
    <x v="3"/>
    <n v="15.3"/>
    <n v="107.10000000000001"/>
    <x v="48"/>
    <x v="7"/>
    <d v="2025-02-19T00:00:00"/>
    <x v="3"/>
    <x v="1"/>
    <x v="1"/>
    <x v="0"/>
    <x v="2"/>
    <x v="0"/>
    <x v="8"/>
  </r>
  <r>
    <x v="1232"/>
    <x v="2"/>
    <x v="5"/>
    <n v="88.6"/>
    <n v="974.59999999999991"/>
    <x v="48"/>
    <x v="7"/>
    <d v="2025-02-21T00:00:00"/>
    <x v="2"/>
    <x v="2"/>
    <x v="2"/>
    <x v="0"/>
    <x v="4"/>
    <x v="0"/>
    <x v="17"/>
  </r>
  <r>
    <x v="1233"/>
    <x v="9"/>
    <x v="1"/>
    <n v="49.7"/>
    <n v="99.4"/>
    <x v="48"/>
    <x v="7"/>
    <d v="2025-02-20T00:00:00"/>
    <x v="1"/>
    <x v="3"/>
    <x v="3"/>
    <x v="4"/>
    <x v="0"/>
    <x v="0"/>
    <x v="10"/>
  </r>
  <r>
    <x v="1234"/>
    <x v="10"/>
    <x v="0"/>
    <n v="29"/>
    <n v="29"/>
    <x v="48"/>
    <x v="7"/>
    <d v="2025-02-19T00:00:00"/>
    <x v="3"/>
    <x v="1"/>
    <x v="1"/>
    <x v="0"/>
    <x v="0"/>
    <x v="0"/>
    <x v="11"/>
  </r>
  <r>
    <x v="1235"/>
    <x v="1"/>
    <x v="0"/>
    <n v="60.7"/>
    <n v="60.7"/>
    <x v="48"/>
    <x v="7"/>
    <d v="2025-02-19T00:00:00"/>
    <x v="3"/>
    <x v="3"/>
    <x v="3"/>
    <x v="0"/>
    <x v="1"/>
    <x v="0"/>
    <x v="11"/>
  </r>
  <r>
    <x v="1236"/>
    <x v="17"/>
    <x v="12"/>
    <n v="87.4"/>
    <n v="349.6"/>
    <x v="48"/>
    <x v="7"/>
    <d v="2025-02-20T00:00:00"/>
    <x v="1"/>
    <x v="0"/>
    <x v="0"/>
    <x v="0"/>
    <x v="0"/>
    <x v="0"/>
    <x v="11"/>
  </r>
  <r>
    <x v="1237"/>
    <x v="4"/>
    <x v="3"/>
    <n v="44.5"/>
    <n v="311.5"/>
    <x v="48"/>
    <x v="7"/>
    <d v="2025-02-22T00:00:00"/>
    <x v="5"/>
    <x v="2"/>
    <x v="2"/>
    <x v="2"/>
    <x v="2"/>
    <x v="0"/>
    <x v="19"/>
  </r>
  <r>
    <x v="1238"/>
    <x v="2"/>
    <x v="0"/>
    <n v="141"/>
    <n v="141"/>
    <x v="48"/>
    <x v="7"/>
    <d v="2025-02-19T00:00:00"/>
    <x v="3"/>
    <x v="1"/>
    <x v="1"/>
    <x v="4"/>
    <x v="2"/>
    <x v="0"/>
    <x v="19"/>
  </r>
  <r>
    <x v="1239"/>
    <x v="0"/>
    <x v="2"/>
    <n v="16.7"/>
    <n v="50.099999999999994"/>
    <x v="48"/>
    <x v="7"/>
    <d v="2025-02-26T00:00:00"/>
    <x v="9"/>
    <x v="2"/>
    <x v="2"/>
    <x v="0"/>
    <x v="0"/>
    <x v="0"/>
    <x v="20"/>
  </r>
  <r>
    <x v="1240"/>
    <x v="1"/>
    <x v="1"/>
    <n v="77.5"/>
    <n v="155"/>
    <x v="48"/>
    <x v="7"/>
    <d v="2025-02-19T00:00:00"/>
    <x v="3"/>
    <x v="0"/>
    <x v="0"/>
    <x v="2"/>
    <x v="2"/>
    <x v="0"/>
    <x v="13"/>
  </r>
  <r>
    <x v="1241"/>
    <x v="2"/>
    <x v="1"/>
    <n v="163"/>
    <n v="326"/>
    <x v="48"/>
    <x v="7"/>
    <d v="2025-02-24T00:00:00"/>
    <x v="4"/>
    <x v="2"/>
    <x v="2"/>
    <x v="4"/>
    <x v="0"/>
    <x v="0"/>
    <x v="21"/>
  </r>
  <r>
    <x v="1242"/>
    <x v="4"/>
    <x v="11"/>
    <n v="21.4"/>
    <n v="192.6"/>
    <x v="48"/>
    <x v="7"/>
    <d v="2025-02-21T00:00:00"/>
    <x v="2"/>
    <x v="2"/>
    <x v="2"/>
    <x v="0"/>
    <x v="0"/>
    <x v="0"/>
    <x v="51"/>
  </r>
  <r>
    <x v="1243"/>
    <x v="10"/>
    <x v="5"/>
    <n v="31"/>
    <n v="341"/>
    <x v="48"/>
    <x v="7"/>
    <d v="2025-02-20T00:00:00"/>
    <x v="1"/>
    <x v="2"/>
    <x v="2"/>
    <x v="3"/>
    <x v="2"/>
    <x v="0"/>
    <x v="1"/>
  </r>
  <r>
    <x v="1244"/>
    <x v="7"/>
    <x v="1"/>
    <n v="34.299999999999997"/>
    <n v="68.599999999999994"/>
    <x v="48"/>
    <x v="7"/>
    <d v="2025-02-20T00:00:00"/>
    <x v="1"/>
    <x v="2"/>
    <x v="2"/>
    <x v="0"/>
    <x v="3"/>
    <x v="0"/>
    <x v="1"/>
  </r>
  <r>
    <x v="1245"/>
    <x v="17"/>
    <x v="9"/>
    <n v="48.2"/>
    <n v="241"/>
    <x v="48"/>
    <x v="7"/>
    <d v="2025-02-19T00:00:00"/>
    <x v="3"/>
    <x v="1"/>
    <x v="1"/>
    <x v="1"/>
    <x v="1"/>
    <x v="0"/>
    <x v="2"/>
  </r>
  <r>
    <x v="1246"/>
    <x v="10"/>
    <x v="0"/>
    <n v="51.4"/>
    <n v="51.4"/>
    <x v="48"/>
    <x v="7"/>
    <d v="2025-02-19T00:00:00"/>
    <x v="3"/>
    <x v="1"/>
    <x v="1"/>
    <x v="0"/>
    <x v="0"/>
    <x v="0"/>
    <x v="3"/>
  </r>
  <r>
    <x v="1247"/>
    <x v="2"/>
    <x v="9"/>
    <n v="117.2"/>
    <n v="586"/>
    <x v="48"/>
    <x v="7"/>
    <d v="2025-02-21T00:00:00"/>
    <x v="2"/>
    <x v="2"/>
    <x v="2"/>
    <x v="4"/>
    <x v="4"/>
    <x v="0"/>
    <x v="3"/>
  </r>
  <r>
    <x v="1248"/>
    <x v="8"/>
    <x v="0"/>
    <n v="38.1"/>
    <n v="38.1"/>
    <x v="48"/>
    <x v="7"/>
    <d v="2025-02-18T00:00:00"/>
    <x v="7"/>
    <x v="1"/>
    <x v="1"/>
    <x v="4"/>
    <x v="1"/>
    <x v="0"/>
    <x v="3"/>
  </r>
  <r>
    <x v="1249"/>
    <x v="0"/>
    <x v="1"/>
    <n v="44.1"/>
    <n v="88.2"/>
    <x v="48"/>
    <x v="7"/>
    <d v="2025-02-20T00:00:00"/>
    <x v="1"/>
    <x v="2"/>
    <x v="2"/>
    <x v="2"/>
    <x v="0"/>
    <x v="0"/>
    <x v="3"/>
  </r>
  <r>
    <x v="1250"/>
    <x v="15"/>
    <x v="12"/>
    <n v="80.5"/>
    <n v="322"/>
    <x v="48"/>
    <x v="7"/>
    <d v="2025-02-23T00:00:00"/>
    <x v="0"/>
    <x v="1"/>
    <x v="1"/>
    <x v="0"/>
    <x v="0"/>
    <x v="0"/>
    <x v="3"/>
  </r>
  <r>
    <x v="1251"/>
    <x v="18"/>
    <x v="12"/>
    <n v="33.6"/>
    <n v="134.4"/>
    <x v="48"/>
    <x v="7"/>
    <d v="2025-02-23T00:00:00"/>
    <x v="0"/>
    <x v="0"/>
    <x v="0"/>
    <x v="0"/>
    <x v="2"/>
    <x v="0"/>
    <x v="3"/>
  </r>
  <r>
    <x v="1252"/>
    <x v="9"/>
    <x v="11"/>
    <n v="41.8"/>
    <n v="376.2"/>
    <x v="48"/>
    <x v="7"/>
    <d v="2025-02-19T00:00:00"/>
    <x v="3"/>
    <x v="2"/>
    <x v="2"/>
    <x v="0"/>
    <x v="1"/>
    <x v="0"/>
    <x v="3"/>
  </r>
  <r>
    <x v="1253"/>
    <x v="1"/>
    <x v="1"/>
    <n v="106.2"/>
    <n v="212.4"/>
    <x v="48"/>
    <x v="7"/>
    <d v="2025-02-18T00:00:00"/>
    <x v="7"/>
    <x v="2"/>
    <x v="2"/>
    <x v="4"/>
    <x v="2"/>
    <x v="0"/>
    <x v="3"/>
  </r>
  <r>
    <x v="1254"/>
    <x v="1"/>
    <x v="1"/>
    <n v="52.6"/>
    <n v="105.2"/>
    <x v="48"/>
    <x v="7"/>
    <d v="2025-02-19T00:00:00"/>
    <x v="3"/>
    <x v="2"/>
    <x v="2"/>
    <x v="0"/>
    <x v="2"/>
    <x v="0"/>
    <x v="5"/>
  </r>
  <r>
    <x v="1255"/>
    <x v="11"/>
    <x v="3"/>
    <n v="68.5"/>
    <n v="479.5"/>
    <x v="48"/>
    <x v="7"/>
    <d v="2025-02-19T00:00:00"/>
    <x v="3"/>
    <x v="2"/>
    <x v="2"/>
    <x v="1"/>
    <x v="0"/>
    <x v="0"/>
    <x v="5"/>
  </r>
  <r>
    <x v="1256"/>
    <x v="1"/>
    <x v="1"/>
    <n v="55.6"/>
    <n v="111.2"/>
    <x v="48"/>
    <x v="7"/>
    <d v="2025-02-20T00:00:00"/>
    <x v="1"/>
    <x v="1"/>
    <x v="1"/>
    <x v="1"/>
    <x v="2"/>
    <x v="0"/>
    <x v="6"/>
  </r>
  <r>
    <x v="1257"/>
    <x v="2"/>
    <x v="2"/>
    <n v="134.9"/>
    <n v="404.70000000000005"/>
    <x v="48"/>
    <x v="7"/>
    <d v="2025-02-19T00:00:00"/>
    <x v="3"/>
    <x v="1"/>
    <x v="1"/>
    <x v="1"/>
    <x v="1"/>
    <x v="0"/>
    <x v="6"/>
  </r>
  <r>
    <x v="1258"/>
    <x v="10"/>
    <x v="9"/>
    <n v="42.6"/>
    <n v="213"/>
    <x v="48"/>
    <x v="7"/>
    <d v="2025-02-19T00:00:00"/>
    <x v="3"/>
    <x v="1"/>
    <x v="1"/>
    <x v="0"/>
    <x v="0"/>
    <x v="0"/>
    <x v="6"/>
  </r>
  <r>
    <x v="1259"/>
    <x v="7"/>
    <x v="9"/>
    <n v="60.6"/>
    <n v="303"/>
    <x v="48"/>
    <x v="7"/>
    <d v="2025-02-20T00:00:00"/>
    <x v="1"/>
    <x v="1"/>
    <x v="1"/>
    <x v="4"/>
    <x v="0"/>
    <x v="0"/>
    <x v="6"/>
  </r>
  <r>
    <x v="1260"/>
    <x v="8"/>
    <x v="1"/>
    <n v="43.5"/>
    <n v="87"/>
    <x v="48"/>
    <x v="7"/>
    <d v="2025-02-19T00:00:00"/>
    <x v="3"/>
    <x v="1"/>
    <x v="1"/>
    <x v="4"/>
    <x v="0"/>
    <x v="0"/>
    <x v="7"/>
  </r>
  <r>
    <x v="1261"/>
    <x v="2"/>
    <x v="1"/>
    <n v="187.1"/>
    <n v="374.2"/>
    <x v="48"/>
    <x v="7"/>
    <d v="2025-02-19T00:00:00"/>
    <x v="3"/>
    <x v="1"/>
    <x v="1"/>
    <x v="1"/>
    <x v="2"/>
    <x v="0"/>
    <x v="8"/>
  </r>
  <r>
    <x v="1262"/>
    <x v="9"/>
    <x v="2"/>
    <n v="32"/>
    <n v="96"/>
    <x v="48"/>
    <x v="7"/>
    <d v="2025-02-20T00:00:00"/>
    <x v="1"/>
    <x v="1"/>
    <x v="1"/>
    <x v="0"/>
    <x v="0"/>
    <x v="0"/>
    <x v="8"/>
  </r>
  <r>
    <x v="1263"/>
    <x v="9"/>
    <x v="1"/>
    <n v="110.8"/>
    <n v="221.6"/>
    <x v="48"/>
    <x v="7"/>
    <d v="2025-02-18T00:00:00"/>
    <x v="7"/>
    <x v="1"/>
    <x v="1"/>
    <x v="0"/>
    <x v="2"/>
    <x v="0"/>
    <x v="8"/>
  </r>
  <r>
    <x v="1264"/>
    <x v="10"/>
    <x v="15"/>
    <n v="36.1"/>
    <n v="469.3"/>
    <x v="48"/>
    <x v="7"/>
    <d v="2025-02-21T00:00:00"/>
    <x v="2"/>
    <x v="2"/>
    <x v="2"/>
    <x v="0"/>
    <x v="1"/>
    <x v="0"/>
    <x v="8"/>
  </r>
  <r>
    <x v="1265"/>
    <x v="0"/>
    <x v="0"/>
    <n v="24.1"/>
    <n v="24.1"/>
    <x v="48"/>
    <x v="7"/>
    <d v="2025-02-20T00:00:00"/>
    <x v="1"/>
    <x v="2"/>
    <x v="2"/>
    <x v="4"/>
    <x v="2"/>
    <x v="0"/>
    <x v="8"/>
  </r>
  <r>
    <x v="1266"/>
    <x v="19"/>
    <x v="2"/>
    <n v="30.5"/>
    <n v="91.5"/>
    <x v="48"/>
    <x v="7"/>
    <d v="2025-02-20T00:00:00"/>
    <x v="1"/>
    <x v="1"/>
    <x v="1"/>
    <x v="1"/>
    <x v="0"/>
    <x v="0"/>
    <x v="8"/>
  </r>
  <r>
    <x v="1267"/>
    <x v="18"/>
    <x v="13"/>
    <n v="68.3"/>
    <n v="409.79999999999995"/>
    <x v="48"/>
    <x v="7"/>
    <d v="2025-02-21T00:00:00"/>
    <x v="2"/>
    <x v="1"/>
    <x v="1"/>
    <x v="0"/>
    <x v="0"/>
    <x v="0"/>
    <x v="8"/>
  </r>
  <r>
    <x v="1268"/>
    <x v="7"/>
    <x v="2"/>
    <n v="43.3"/>
    <n v="129.89999999999998"/>
    <x v="48"/>
    <x v="7"/>
    <d v="2025-02-22T00:00:00"/>
    <x v="5"/>
    <x v="2"/>
    <x v="2"/>
    <x v="0"/>
    <x v="0"/>
    <x v="0"/>
    <x v="17"/>
  </r>
  <r>
    <x v="1269"/>
    <x v="3"/>
    <x v="0"/>
    <n v="101.7"/>
    <n v="101.7"/>
    <x v="48"/>
    <x v="7"/>
    <d v="2025-02-21T00:00:00"/>
    <x v="2"/>
    <x v="2"/>
    <x v="2"/>
    <x v="0"/>
    <x v="1"/>
    <x v="0"/>
    <x v="17"/>
  </r>
  <r>
    <x v="1270"/>
    <x v="11"/>
    <x v="1"/>
    <n v="54.2"/>
    <n v="108.4"/>
    <x v="48"/>
    <x v="7"/>
    <d v="2025-02-19T00:00:00"/>
    <x v="3"/>
    <x v="2"/>
    <x v="2"/>
    <x v="0"/>
    <x v="1"/>
    <x v="0"/>
    <x v="17"/>
  </r>
  <r>
    <x v="1271"/>
    <x v="16"/>
    <x v="1"/>
    <n v="51"/>
    <n v="102"/>
    <x v="48"/>
    <x v="7"/>
    <d v="2025-02-18T00:00:00"/>
    <x v="7"/>
    <x v="1"/>
    <x v="1"/>
    <x v="1"/>
    <x v="0"/>
    <x v="0"/>
    <x v="26"/>
  </r>
  <r>
    <x v="1272"/>
    <x v="4"/>
    <x v="1"/>
    <n v="23.1"/>
    <n v="46.2"/>
    <x v="48"/>
    <x v="7"/>
    <d v="2025-02-21T00:00:00"/>
    <x v="2"/>
    <x v="1"/>
    <x v="1"/>
    <x v="1"/>
    <x v="0"/>
    <x v="0"/>
    <x v="10"/>
  </r>
  <r>
    <x v="1273"/>
    <x v="12"/>
    <x v="13"/>
    <n v="60.1"/>
    <n v="360.6"/>
    <x v="48"/>
    <x v="7"/>
    <d v="2025-02-18T00:00:00"/>
    <x v="7"/>
    <x v="2"/>
    <x v="2"/>
    <x v="3"/>
    <x v="0"/>
    <x v="0"/>
    <x v="11"/>
  </r>
  <r>
    <x v="1274"/>
    <x v="2"/>
    <x v="3"/>
    <n v="87.5"/>
    <n v="612.5"/>
    <x v="48"/>
    <x v="7"/>
    <d v="2025-02-20T00:00:00"/>
    <x v="1"/>
    <x v="2"/>
    <x v="2"/>
    <x v="0"/>
    <x v="1"/>
    <x v="0"/>
    <x v="11"/>
  </r>
  <r>
    <x v="1275"/>
    <x v="1"/>
    <x v="2"/>
    <n v="51"/>
    <n v="153"/>
    <x v="48"/>
    <x v="7"/>
    <d v="2025-02-19T00:00:00"/>
    <x v="3"/>
    <x v="2"/>
    <x v="2"/>
    <x v="1"/>
    <x v="0"/>
    <x v="0"/>
    <x v="11"/>
  </r>
  <r>
    <x v="1276"/>
    <x v="8"/>
    <x v="12"/>
    <n v="19.2"/>
    <n v="76.8"/>
    <x v="48"/>
    <x v="7"/>
    <d v="2025-02-20T00:00:00"/>
    <x v="1"/>
    <x v="2"/>
    <x v="2"/>
    <x v="0"/>
    <x v="0"/>
    <x v="0"/>
    <x v="11"/>
  </r>
  <r>
    <x v="1277"/>
    <x v="5"/>
    <x v="8"/>
    <n v="26.5"/>
    <n v="212"/>
    <x v="48"/>
    <x v="7"/>
    <d v="2025-02-19T00:00:00"/>
    <x v="3"/>
    <x v="0"/>
    <x v="0"/>
    <x v="3"/>
    <x v="2"/>
    <x v="0"/>
    <x v="11"/>
  </r>
  <r>
    <x v="1278"/>
    <x v="2"/>
    <x v="1"/>
    <n v="220.3"/>
    <n v="440.6"/>
    <x v="48"/>
    <x v="7"/>
    <d v="2025-02-19T00:00:00"/>
    <x v="3"/>
    <x v="2"/>
    <x v="2"/>
    <x v="1"/>
    <x v="4"/>
    <x v="0"/>
    <x v="53"/>
  </r>
  <r>
    <x v="1279"/>
    <x v="8"/>
    <x v="2"/>
    <n v="45.7"/>
    <n v="137.10000000000002"/>
    <x v="48"/>
    <x v="7"/>
    <d v="2025-02-19T00:00:00"/>
    <x v="3"/>
    <x v="2"/>
    <x v="2"/>
    <x v="4"/>
    <x v="0"/>
    <x v="0"/>
    <x v="30"/>
  </r>
  <r>
    <x v="1280"/>
    <x v="5"/>
    <x v="9"/>
    <n v="47.1"/>
    <n v="235.5"/>
    <x v="48"/>
    <x v="7"/>
    <d v="2025-02-22T00:00:00"/>
    <x v="5"/>
    <x v="2"/>
    <x v="2"/>
    <x v="3"/>
    <x v="0"/>
    <x v="0"/>
    <x v="13"/>
  </r>
  <r>
    <x v="1281"/>
    <x v="1"/>
    <x v="9"/>
    <n v="81.7"/>
    <n v="408.5"/>
    <x v="48"/>
    <x v="7"/>
    <d v="2025-02-19T00:00:00"/>
    <x v="3"/>
    <x v="2"/>
    <x v="2"/>
    <x v="0"/>
    <x v="2"/>
    <x v="0"/>
    <x v="21"/>
  </r>
  <r>
    <x v="1282"/>
    <x v="6"/>
    <x v="7"/>
    <n v="97.8"/>
    <n v="978"/>
    <x v="48"/>
    <x v="7"/>
    <d v="2025-02-18T00:00:00"/>
    <x v="7"/>
    <x v="1"/>
    <x v="1"/>
    <x v="1"/>
    <x v="1"/>
    <x v="0"/>
    <x v="21"/>
  </r>
  <r>
    <x v="1283"/>
    <x v="6"/>
    <x v="2"/>
    <n v="42.4"/>
    <n v="127.19999999999999"/>
    <x v="48"/>
    <x v="7"/>
    <d v="2025-02-19T00:00:00"/>
    <x v="3"/>
    <x v="2"/>
    <x v="2"/>
    <x v="0"/>
    <x v="2"/>
    <x v="0"/>
    <x v="54"/>
  </r>
  <r>
    <x v="1284"/>
    <x v="2"/>
    <x v="7"/>
    <n v="74.5"/>
    <n v="745"/>
    <x v="48"/>
    <x v="7"/>
    <d v="2025-02-19T00:00:00"/>
    <x v="3"/>
    <x v="1"/>
    <x v="1"/>
    <x v="2"/>
    <x v="1"/>
    <x v="0"/>
    <x v="1"/>
  </r>
  <r>
    <x v="1285"/>
    <x v="17"/>
    <x v="13"/>
    <n v="47.4"/>
    <n v="284.39999999999998"/>
    <x v="48"/>
    <x v="7"/>
    <d v="2025-02-19T00:00:00"/>
    <x v="3"/>
    <x v="1"/>
    <x v="1"/>
    <x v="1"/>
    <x v="0"/>
    <x v="0"/>
    <x v="1"/>
  </r>
  <r>
    <x v="1286"/>
    <x v="14"/>
    <x v="2"/>
    <n v="17.3"/>
    <n v="51.900000000000006"/>
    <x v="49"/>
    <x v="7"/>
    <d v="2025-02-22T00:00:00"/>
    <x v="2"/>
    <x v="1"/>
    <x v="1"/>
    <x v="2"/>
    <x v="2"/>
    <x v="0"/>
    <x v="1"/>
  </r>
  <r>
    <x v="1287"/>
    <x v="12"/>
    <x v="12"/>
    <n v="77.900000000000006"/>
    <n v="311.60000000000002"/>
    <x v="49"/>
    <x v="7"/>
    <d v="2025-02-20T00:00:00"/>
    <x v="3"/>
    <x v="1"/>
    <x v="1"/>
    <x v="1"/>
    <x v="0"/>
    <x v="0"/>
    <x v="2"/>
  </r>
  <r>
    <x v="1288"/>
    <x v="8"/>
    <x v="0"/>
    <n v="29.1"/>
    <n v="29.1"/>
    <x v="49"/>
    <x v="7"/>
    <d v="2025-02-22T00:00:00"/>
    <x v="2"/>
    <x v="1"/>
    <x v="1"/>
    <x v="0"/>
    <x v="2"/>
    <x v="0"/>
    <x v="50"/>
  </r>
  <r>
    <x v="1289"/>
    <x v="8"/>
    <x v="0"/>
    <n v="49"/>
    <n v="49"/>
    <x v="49"/>
    <x v="7"/>
    <d v="2025-02-20T00:00:00"/>
    <x v="3"/>
    <x v="1"/>
    <x v="1"/>
    <x v="1"/>
    <x v="0"/>
    <x v="0"/>
    <x v="3"/>
  </r>
  <r>
    <x v="1290"/>
    <x v="8"/>
    <x v="13"/>
    <n v="21.1"/>
    <n v="126.60000000000001"/>
    <x v="49"/>
    <x v="7"/>
    <d v="2025-02-26T00:00:00"/>
    <x v="6"/>
    <x v="1"/>
    <x v="1"/>
    <x v="0"/>
    <x v="2"/>
    <x v="0"/>
    <x v="3"/>
  </r>
  <r>
    <x v="1291"/>
    <x v="4"/>
    <x v="10"/>
    <n v="36.9"/>
    <n v="701.1"/>
    <x v="49"/>
    <x v="7"/>
    <d v="2025-02-19T00:00:00"/>
    <x v="7"/>
    <x v="2"/>
    <x v="2"/>
    <x v="0"/>
    <x v="0"/>
    <x v="0"/>
    <x v="3"/>
  </r>
  <r>
    <x v="1292"/>
    <x v="1"/>
    <x v="7"/>
    <n v="92.6"/>
    <n v="926"/>
    <x v="49"/>
    <x v="7"/>
    <d v="2025-02-24T00:00:00"/>
    <x v="0"/>
    <x v="1"/>
    <x v="1"/>
    <x v="4"/>
    <x v="2"/>
    <x v="0"/>
    <x v="3"/>
  </r>
  <r>
    <x v="1293"/>
    <x v="10"/>
    <x v="1"/>
    <n v="38"/>
    <n v="76"/>
    <x v="49"/>
    <x v="7"/>
    <d v="2025-02-20T00:00:00"/>
    <x v="3"/>
    <x v="1"/>
    <x v="1"/>
    <x v="1"/>
    <x v="1"/>
    <x v="0"/>
    <x v="3"/>
  </r>
  <r>
    <x v="1294"/>
    <x v="5"/>
    <x v="2"/>
    <n v="54.8"/>
    <n v="164.39999999999998"/>
    <x v="49"/>
    <x v="7"/>
    <d v="2025-02-23T00:00:00"/>
    <x v="5"/>
    <x v="0"/>
    <x v="0"/>
    <x v="0"/>
    <x v="1"/>
    <x v="0"/>
    <x v="3"/>
  </r>
  <r>
    <x v="1295"/>
    <x v="10"/>
    <x v="4"/>
    <n v="56.8"/>
    <n v="681.59999999999991"/>
    <x v="49"/>
    <x v="7"/>
    <d v="2025-02-21T00:00:00"/>
    <x v="1"/>
    <x v="1"/>
    <x v="1"/>
    <x v="1"/>
    <x v="0"/>
    <x v="0"/>
    <x v="3"/>
  </r>
  <r>
    <x v="1296"/>
    <x v="11"/>
    <x v="40"/>
    <n v="47.2"/>
    <n v="1557.6000000000001"/>
    <x v="49"/>
    <x v="7"/>
    <d v="2025-02-22T00:00:00"/>
    <x v="2"/>
    <x v="2"/>
    <x v="2"/>
    <x v="1"/>
    <x v="0"/>
    <x v="0"/>
    <x v="3"/>
  </r>
  <r>
    <x v="1297"/>
    <x v="7"/>
    <x v="13"/>
    <n v="45.1"/>
    <n v="270.60000000000002"/>
    <x v="49"/>
    <x v="7"/>
    <d v="2025-02-20T00:00:00"/>
    <x v="3"/>
    <x v="2"/>
    <x v="2"/>
    <x v="2"/>
    <x v="0"/>
    <x v="0"/>
    <x v="43"/>
  </r>
  <r>
    <x v="1298"/>
    <x v="4"/>
    <x v="4"/>
    <n v="25.2"/>
    <n v="302.39999999999998"/>
    <x v="49"/>
    <x v="7"/>
    <d v="2025-02-24T00:00:00"/>
    <x v="0"/>
    <x v="2"/>
    <x v="2"/>
    <x v="2"/>
    <x v="0"/>
    <x v="0"/>
    <x v="16"/>
  </r>
  <r>
    <x v="1299"/>
    <x v="8"/>
    <x v="0"/>
    <n v="22"/>
    <n v="22"/>
    <x v="49"/>
    <x v="7"/>
    <d v="2025-02-20T00:00:00"/>
    <x v="3"/>
    <x v="2"/>
    <x v="2"/>
    <x v="0"/>
    <x v="0"/>
    <x v="0"/>
    <x v="5"/>
  </r>
  <r>
    <x v="1300"/>
    <x v="6"/>
    <x v="1"/>
    <n v="42.2"/>
    <n v="84.4"/>
    <x v="49"/>
    <x v="7"/>
    <d v="2025-02-20T00:00:00"/>
    <x v="3"/>
    <x v="2"/>
    <x v="2"/>
    <x v="1"/>
    <x v="1"/>
    <x v="0"/>
    <x v="23"/>
  </r>
  <r>
    <x v="1301"/>
    <x v="13"/>
    <x v="2"/>
    <n v="20.5"/>
    <n v="61.5"/>
    <x v="49"/>
    <x v="7"/>
    <d v="2025-02-20T00:00:00"/>
    <x v="3"/>
    <x v="1"/>
    <x v="1"/>
    <x v="0"/>
    <x v="1"/>
    <x v="0"/>
    <x v="6"/>
  </r>
  <r>
    <x v="1302"/>
    <x v="2"/>
    <x v="0"/>
    <n v="190.4"/>
    <n v="190.4"/>
    <x v="49"/>
    <x v="7"/>
    <d v="2025-02-24T00:00:00"/>
    <x v="0"/>
    <x v="1"/>
    <x v="1"/>
    <x v="1"/>
    <x v="4"/>
    <x v="0"/>
    <x v="6"/>
  </r>
  <r>
    <x v="1303"/>
    <x v="2"/>
    <x v="0"/>
    <n v="121.9"/>
    <n v="121.9"/>
    <x v="49"/>
    <x v="7"/>
    <d v="2025-02-21T00:00:00"/>
    <x v="1"/>
    <x v="2"/>
    <x v="2"/>
    <x v="1"/>
    <x v="2"/>
    <x v="0"/>
    <x v="6"/>
  </r>
  <r>
    <x v="1304"/>
    <x v="2"/>
    <x v="13"/>
    <n v="149.19999999999999"/>
    <n v="895.19999999999993"/>
    <x v="49"/>
    <x v="7"/>
    <d v="2025-02-20T00:00:00"/>
    <x v="3"/>
    <x v="2"/>
    <x v="2"/>
    <x v="2"/>
    <x v="2"/>
    <x v="0"/>
    <x v="7"/>
  </r>
  <r>
    <x v="1305"/>
    <x v="2"/>
    <x v="0"/>
    <n v="54.1"/>
    <n v="54.1"/>
    <x v="49"/>
    <x v="7"/>
    <d v="2025-02-28T00:00:00"/>
    <x v="8"/>
    <x v="2"/>
    <x v="2"/>
    <x v="2"/>
    <x v="2"/>
    <x v="0"/>
    <x v="7"/>
  </r>
  <r>
    <x v="1306"/>
    <x v="5"/>
    <x v="1"/>
    <n v="27.4"/>
    <n v="54.8"/>
    <x v="49"/>
    <x v="7"/>
    <d v="2025-02-21T00:00:00"/>
    <x v="1"/>
    <x v="1"/>
    <x v="1"/>
    <x v="1"/>
    <x v="0"/>
    <x v="0"/>
    <x v="8"/>
  </r>
  <r>
    <x v="1307"/>
    <x v="0"/>
    <x v="15"/>
    <n v="30.4"/>
    <n v="395.2"/>
    <x v="49"/>
    <x v="7"/>
    <d v="2025-02-20T00:00:00"/>
    <x v="3"/>
    <x v="2"/>
    <x v="2"/>
    <x v="0"/>
    <x v="2"/>
    <x v="0"/>
    <x v="8"/>
  </r>
  <r>
    <x v="1308"/>
    <x v="12"/>
    <x v="2"/>
    <n v="46.2"/>
    <n v="138.60000000000002"/>
    <x v="49"/>
    <x v="7"/>
    <d v="2025-02-21T00:00:00"/>
    <x v="1"/>
    <x v="1"/>
    <x v="1"/>
    <x v="2"/>
    <x v="1"/>
    <x v="0"/>
    <x v="17"/>
  </r>
  <r>
    <x v="1309"/>
    <x v="7"/>
    <x v="8"/>
    <n v="78.599999999999994"/>
    <n v="628.79999999999995"/>
    <x v="49"/>
    <x v="7"/>
    <d v="2025-02-23T00:00:00"/>
    <x v="5"/>
    <x v="1"/>
    <x v="1"/>
    <x v="3"/>
    <x v="0"/>
    <x v="0"/>
    <x v="17"/>
  </r>
  <r>
    <x v="1310"/>
    <x v="17"/>
    <x v="7"/>
    <n v="25.9"/>
    <n v="259"/>
    <x v="49"/>
    <x v="7"/>
    <d v="2025-02-25T00:00:00"/>
    <x v="4"/>
    <x v="1"/>
    <x v="1"/>
    <x v="4"/>
    <x v="0"/>
    <x v="0"/>
    <x v="9"/>
  </r>
  <r>
    <x v="1311"/>
    <x v="6"/>
    <x v="0"/>
    <n v="134.80000000000001"/>
    <n v="134.80000000000001"/>
    <x v="49"/>
    <x v="7"/>
    <d v="2025-02-21T00:00:00"/>
    <x v="1"/>
    <x v="1"/>
    <x v="1"/>
    <x v="2"/>
    <x v="2"/>
    <x v="0"/>
    <x v="9"/>
  </r>
  <r>
    <x v="1312"/>
    <x v="15"/>
    <x v="9"/>
    <n v="43.1"/>
    <n v="215.5"/>
    <x v="49"/>
    <x v="7"/>
    <d v="2025-02-21T00:00:00"/>
    <x v="1"/>
    <x v="2"/>
    <x v="2"/>
    <x v="0"/>
    <x v="0"/>
    <x v="0"/>
    <x v="11"/>
  </r>
  <r>
    <x v="1313"/>
    <x v="2"/>
    <x v="1"/>
    <n v="215.6"/>
    <n v="431.2"/>
    <x v="49"/>
    <x v="7"/>
    <d v="2025-02-20T00:00:00"/>
    <x v="3"/>
    <x v="2"/>
    <x v="2"/>
    <x v="2"/>
    <x v="0"/>
    <x v="0"/>
    <x v="18"/>
  </r>
  <r>
    <x v="1314"/>
    <x v="6"/>
    <x v="1"/>
    <n v="80.7"/>
    <n v="161.4"/>
    <x v="49"/>
    <x v="7"/>
    <d v="2025-02-22T00:00:00"/>
    <x v="2"/>
    <x v="2"/>
    <x v="2"/>
    <x v="3"/>
    <x v="0"/>
    <x v="0"/>
    <x v="18"/>
  </r>
  <r>
    <x v="1315"/>
    <x v="10"/>
    <x v="3"/>
    <n v="20.6"/>
    <n v="144.20000000000002"/>
    <x v="49"/>
    <x v="7"/>
    <d v="2025-02-24T00:00:00"/>
    <x v="0"/>
    <x v="0"/>
    <x v="0"/>
    <x v="2"/>
    <x v="1"/>
    <x v="0"/>
    <x v="19"/>
  </r>
  <r>
    <x v="1316"/>
    <x v="12"/>
    <x v="2"/>
    <n v="37.1"/>
    <n v="111.30000000000001"/>
    <x v="49"/>
    <x v="7"/>
    <d v="2025-02-20T00:00:00"/>
    <x v="3"/>
    <x v="2"/>
    <x v="2"/>
    <x v="0"/>
    <x v="0"/>
    <x v="0"/>
    <x v="52"/>
  </r>
  <r>
    <x v="1317"/>
    <x v="12"/>
    <x v="0"/>
    <n v="104.8"/>
    <n v="104.8"/>
    <x v="50"/>
    <x v="7"/>
    <d v="2025-02-22T00:00:00"/>
    <x v="1"/>
    <x v="2"/>
    <x v="2"/>
    <x v="0"/>
    <x v="0"/>
    <x v="0"/>
    <x v="13"/>
  </r>
  <r>
    <x v="1318"/>
    <x v="8"/>
    <x v="1"/>
    <n v="59"/>
    <n v="118"/>
    <x v="50"/>
    <x v="7"/>
    <d v="2025-02-21T00:00:00"/>
    <x v="3"/>
    <x v="1"/>
    <x v="1"/>
    <x v="1"/>
    <x v="0"/>
    <x v="0"/>
    <x v="21"/>
  </r>
  <r>
    <x v="1319"/>
    <x v="8"/>
    <x v="1"/>
    <n v="32.299999999999997"/>
    <n v="64.599999999999994"/>
    <x v="50"/>
    <x v="7"/>
    <d v="2025-02-21T00:00:00"/>
    <x v="3"/>
    <x v="1"/>
    <x v="1"/>
    <x v="0"/>
    <x v="2"/>
    <x v="0"/>
    <x v="21"/>
  </r>
  <r>
    <x v="1320"/>
    <x v="8"/>
    <x v="12"/>
    <n v="28.9"/>
    <n v="115.6"/>
    <x v="50"/>
    <x v="7"/>
    <d v="2025-02-27T00:00:00"/>
    <x v="6"/>
    <x v="1"/>
    <x v="1"/>
    <x v="0"/>
    <x v="0"/>
    <x v="0"/>
    <x v="1"/>
  </r>
  <r>
    <x v="1321"/>
    <x v="0"/>
    <x v="1"/>
    <n v="29.6"/>
    <n v="59.2"/>
    <x v="50"/>
    <x v="7"/>
    <d v="2025-02-22T00:00:00"/>
    <x v="1"/>
    <x v="1"/>
    <x v="1"/>
    <x v="0"/>
    <x v="0"/>
    <x v="0"/>
    <x v="1"/>
  </r>
  <r>
    <x v="1322"/>
    <x v="0"/>
    <x v="9"/>
    <n v="29.4"/>
    <n v="147"/>
    <x v="50"/>
    <x v="7"/>
    <d v="2025-02-23T00:00:00"/>
    <x v="2"/>
    <x v="2"/>
    <x v="2"/>
    <x v="0"/>
    <x v="0"/>
    <x v="0"/>
    <x v="1"/>
  </r>
  <r>
    <x v="1323"/>
    <x v="1"/>
    <x v="1"/>
    <n v="40.6"/>
    <n v="81.2"/>
    <x v="50"/>
    <x v="7"/>
    <d v="2025-02-21T00:00:00"/>
    <x v="3"/>
    <x v="1"/>
    <x v="1"/>
    <x v="0"/>
    <x v="4"/>
    <x v="0"/>
    <x v="2"/>
  </r>
  <r>
    <x v="1324"/>
    <x v="0"/>
    <x v="2"/>
    <n v="32.5"/>
    <n v="97.5"/>
    <x v="50"/>
    <x v="7"/>
    <d v="2025-02-21T00:00:00"/>
    <x v="3"/>
    <x v="1"/>
    <x v="1"/>
    <x v="3"/>
    <x v="2"/>
    <x v="0"/>
    <x v="22"/>
  </r>
  <r>
    <x v="1325"/>
    <x v="15"/>
    <x v="0"/>
    <n v="26.2"/>
    <n v="26.2"/>
    <x v="50"/>
    <x v="7"/>
    <d v="2025-02-22T00:00:00"/>
    <x v="1"/>
    <x v="1"/>
    <x v="1"/>
    <x v="2"/>
    <x v="0"/>
    <x v="0"/>
    <x v="55"/>
  </r>
  <r>
    <x v="1326"/>
    <x v="10"/>
    <x v="17"/>
    <n v="44"/>
    <n v="1320"/>
    <x v="50"/>
    <x v="7"/>
    <d v="2025-02-26T00:00:00"/>
    <x v="4"/>
    <x v="1"/>
    <x v="1"/>
    <x v="4"/>
    <x v="0"/>
    <x v="0"/>
    <x v="3"/>
  </r>
  <r>
    <x v="1327"/>
    <x v="7"/>
    <x v="12"/>
    <n v="65.599999999999994"/>
    <n v="262.39999999999998"/>
    <x v="50"/>
    <x v="7"/>
    <d v="2025-02-21T00:00:00"/>
    <x v="3"/>
    <x v="2"/>
    <x v="2"/>
    <x v="1"/>
    <x v="1"/>
    <x v="0"/>
    <x v="3"/>
  </r>
  <r>
    <x v="1328"/>
    <x v="5"/>
    <x v="4"/>
    <n v="32.6"/>
    <n v="391.20000000000005"/>
    <x v="50"/>
    <x v="7"/>
    <d v="2025-02-21T00:00:00"/>
    <x v="3"/>
    <x v="1"/>
    <x v="1"/>
    <x v="4"/>
    <x v="0"/>
    <x v="0"/>
    <x v="3"/>
  </r>
  <r>
    <x v="1329"/>
    <x v="16"/>
    <x v="1"/>
    <n v="88.7"/>
    <n v="177.4"/>
    <x v="50"/>
    <x v="7"/>
    <d v="2025-02-21T00:00:00"/>
    <x v="3"/>
    <x v="0"/>
    <x v="0"/>
    <x v="3"/>
    <x v="2"/>
    <x v="0"/>
    <x v="3"/>
  </r>
  <r>
    <x v="1330"/>
    <x v="4"/>
    <x v="1"/>
    <n v="21.3"/>
    <n v="42.6"/>
    <x v="50"/>
    <x v="7"/>
    <d v="2025-02-21T00:00:00"/>
    <x v="3"/>
    <x v="1"/>
    <x v="1"/>
    <x v="0"/>
    <x v="0"/>
    <x v="0"/>
    <x v="3"/>
  </r>
  <r>
    <x v="1331"/>
    <x v="4"/>
    <x v="13"/>
    <n v="50.6"/>
    <n v="303.60000000000002"/>
    <x v="50"/>
    <x v="7"/>
    <d v="2025-02-24T00:00:00"/>
    <x v="5"/>
    <x v="2"/>
    <x v="2"/>
    <x v="2"/>
    <x v="0"/>
    <x v="0"/>
    <x v="3"/>
  </r>
  <r>
    <x v="1332"/>
    <x v="9"/>
    <x v="38"/>
    <n v="86.9"/>
    <n v="1824.9"/>
    <x v="50"/>
    <x v="7"/>
    <d v="2025-02-23T00:00:00"/>
    <x v="2"/>
    <x v="2"/>
    <x v="2"/>
    <x v="0"/>
    <x v="1"/>
    <x v="0"/>
    <x v="3"/>
  </r>
  <r>
    <x v="1333"/>
    <x v="11"/>
    <x v="2"/>
    <n v="31.8"/>
    <n v="95.4"/>
    <x v="50"/>
    <x v="7"/>
    <d v="2025-02-22T00:00:00"/>
    <x v="1"/>
    <x v="1"/>
    <x v="1"/>
    <x v="0"/>
    <x v="2"/>
    <x v="0"/>
    <x v="3"/>
  </r>
  <r>
    <x v="1334"/>
    <x v="8"/>
    <x v="0"/>
    <n v="19"/>
    <n v="19"/>
    <x v="50"/>
    <x v="7"/>
    <d v="2025-02-21T00:00:00"/>
    <x v="3"/>
    <x v="2"/>
    <x v="2"/>
    <x v="0"/>
    <x v="2"/>
    <x v="0"/>
    <x v="3"/>
  </r>
  <r>
    <x v="1335"/>
    <x v="5"/>
    <x v="0"/>
    <n v="54.5"/>
    <n v="54.5"/>
    <x v="50"/>
    <x v="7"/>
    <d v="2025-02-22T00:00:00"/>
    <x v="1"/>
    <x v="1"/>
    <x v="1"/>
    <x v="0"/>
    <x v="0"/>
    <x v="0"/>
    <x v="3"/>
  </r>
  <r>
    <x v="1336"/>
    <x v="9"/>
    <x v="9"/>
    <n v="68.900000000000006"/>
    <n v="344.5"/>
    <x v="50"/>
    <x v="7"/>
    <d v="2025-02-22T00:00:00"/>
    <x v="1"/>
    <x v="1"/>
    <x v="1"/>
    <x v="4"/>
    <x v="1"/>
    <x v="0"/>
    <x v="3"/>
  </r>
  <r>
    <x v="1337"/>
    <x v="6"/>
    <x v="2"/>
    <n v="84"/>
    <n v="252"/>
    <x v="50"/>
    <x v="7"/>
    <d v="2025-02-21T00:00:00"/>
    <x v="3"/>
    <x v="1"/>
    <x v="1"/>
    <x v="1"/>
    <x v="4"/>
    <x v="0"/>
    <x v="16"/>
  </r>
  <r>
    <x v="1338"/>
    <x v="15"/>
    <x v="8"/>
    <n v="23.1"/>
    <n v="184.8"/>
    <x v="50"/>
    <x v="7"/>
    <d v="2025-02-25T00:00:00"/>
    <x v="0"/>
    <x v="1"/>
    <x v="1"/>
    <x v="0"/>
    <x v="2"/>
    <x v="0"/>
    <x v="23"/>
  </r>
  <r>
    <x v="1339"/>
    <x v="7"/>
    <x v="1"/>
    <n v="62.4"/>
    <n v="124.8"/>
    <x v="50"/>
    <x v="7"/>
    <d v="2025-02-21T00:00:00"/>
    <x v="3"/>
    <x v="2"/>
    <x v="2"/>
    <x v="0"/>
    <x v="1"/>
    <x v="0"/>
    <x v="6"/>
  </r>
  <r>
    <x v="1340"/>
    <x v="6"/>
    <x v="4"/>
    <n v="40.700000000000003"/>
    <n v="488.40000000000003"/>
    <x v="50"/>
    <x v="7"/>
    <d v="2025-02-22T00:00:00"/>
    <x v="1"/>
    <x v="1"/>
    <x v="1"/>
    <x v="1"/>
    <x v="2"/>
    <x v="0"/>
    <x v="6"/>
  </r>
  <r>
    <x v="1341"/>
    <x v="6"/>
    <x v="0"/>
    <n v="49.6"/>
    <n v="49.6"/>
    <x v="50"/>
    <x v="7"/>
    <d v="2025-02-23T00:00:00"/>
    <x v="2"/>
    <x v="1"/>
    <x v="1"/>
    <x v="2"/>
    <x v="0"/>
    <x v="0"/>
    <x v="7"/>
  </r>
  <r>
    <x v="1342"/>
    <x v="7"/>
    <x v="41"/>
    <n v="66.599999999999994"/>
    <n v="2996.9999999999995"/>
    <x v="50"/>
    <x v="7"/>
    <d v="2025-02-23T00:00:00"/>
    <x v="2"/>
    <x v="1"/>
    <x v="1"/>
    <x v="2"/>
    <x v="0"/>
    <x v="0"/>
    <x v="8"/>
  </r>
  <r>
    <x v="1343"/>
    <x v="8"/>
    <x v="2"/>
    <n v="26.4"/>
    <n v="79.199999999999989"/>
    <x v="50"/>
    <x v="7"/>
    <d v="2025-02-21T00:00:00"/>
    <x v="3"/>
    <x v="2"/>
    <x v="2"/>
    <x v="1"/>
    <x v="1"/>
    <x v="0"/>
    <x v="8"/>
  </r>
  <r>
    <x v="1344"/>
    <x v="0"/>
    <x v="1"/>
    <n v="17.2"/>
    <n v="34.4"/>
    <x v="50"/>
    <x v="7"/>
    <d v="2025-02-23T00:00:00"/>
    <x v="2"/>
    <x v="1"/>
    <x v="1"/>
    <x v="2"/>
    <x v="1"/>
    <x v="0"/>
    <x v="8"/>
  </r>
  <r>
    <x v="1345"/>
    <x v="5"/>
    <x v="8"/>
    <n v="58.1"/>
    <n v="464.8"/>
    <x v="50"/>
    <x v="7"/>
    <d v="2025-02-23T00:00:00"/>
    <x v="2"/>
    <x v="2"/>
    <x v="2"/>
    <x v="4"/>
    <x v="0"/>
    <x v="0"/>
    <x v="8"/>
  </r>
  <r>
    <x v="1346"/>
    <x v="15"/>
    <x v="12"/>
    <n v="31.5"/>
    <n v="126"/>
    <x v="50"/>
    <x v="7"/>
    <d v="2025-02-23T00:00:00"/>
    <x v="2"/>
    <x v="2"/>
    <x v="2"/>
    <x v="4"/>
    <x v="4"/>
    <x v="0"/>
    <x v="8"/>
  </r>
  <r>
    <x v="1347"/>
    <x v="0"/>
    <x v="0"/>
    <n v="27.1"/>
    <n v="27.1"/>
    <x v="50"/>
    <x v="7"/>
    <d v="2025-02-22T00:00:00"/>
    <x v="1"/>
    <x v="2"/>
    <x v="2"/>
    <x v="0"/>
    <x v="1"/>
    <x v="0"/>
    <x v="17"/>
  </r>
  <r>
    <x v="1348"/>
    <x v="18"/>
    <x v="12"/>
    <n v="28.5"/>
    <n v="114"/>
    <x v="50"/>
    <x v="7"/>
    <d v="2025-02-22T00:00:00"/>
    <x v="1"/>
    <x v="1"/>
    <x v="1"/>
    <x v="1"/>
    <x v="2"/>
    <x v="0"/>
    <x v="9"/>
  </r>
  <r>
    <x v="1349"/>
    <x v="10"/>
    <x v="0"/>
    <n v="40.5"/>
    <n v="40.5"/>
    <x v="51"/>
    <x v="7"/>
    <d v="2025-02-23T00:00:00"/>
    <x v="1"/>
    <x v="3"/>
    <x v="3"/>
    <x v="2"/>
    <x v="0"/>
    <x v="0"/>
    <x v="9"/>
  </r>
  <r>
    <x v="1350"/>
    <x v="2"/>
    <x v="2"/>
    <n v="77.900000000000006"/>
    <n v="233.70000000000002"/>
    <x v="51"/>
    <x v="7"/>
    <d v="2025-02-25T00:00:00"/>
    <x v="5"/>
    <x v="2"/>
    <x v="2"/>
    <x v="1"/>
    <x v="2"/>
    <x v="0"/>
    <x v="19"/>
  </r>
  <r>
    <x v="1351"/>
    <x v="18"/>
    <x v="12"/>
    <n v="37.1"/>
    <n v="148.4"/>
    <x v="51"/>
    <x v="7"/>
    <d v="2025-02-23T00:00:00"/>
    <x v="1"/>
    <x v="1"/>
    <x v="1"/>
    <x v="4"/>
    <x v="2"/>
    <x v="0"/>
    <x v="19"/>
  </r>
  <r>
    <x v="1352"/>
    <x v="16"/>
    <x v="2"/>
    <n v="51.6"/>
    <n v="154.80000000000001"/>
    <x v="51"/>
    <x v="7"/>
    <d v="2025-03-01T00:00:00"/>
    <x v="9"/>
    <x v="2"/>
    <x v="2"/>
    <x v="0"/>
    <x v="4"/>
    <x v="0"/>
    <x v="19"/>
  </r>
  <r>
    <x v="1353"/>
    <x v="7"/>
    <x v="2"/>
    <n v="98"/>
    <n v="294"/>
    <x v="51"/>
    <x v="7"/>
    <d v="2025-02-22T00:00:00"/>
    <x v="3"/>
    <x v="1"/>
    <x v="1"/>
    <x v="1"/>
    <x v="1"/>
    <x v="0"/>
    <x v="19"/>
  </r>
  <r>
    <x v="1354"/>
    <x v="6"/>
    <x v="3"/>
    <n v="41.4"/>
    <n v="289.8"/>
    <x v="51"/>
    <x v="7"/>
    <d v="2025-02-22T00:00:00"/>
    <x v="3"/>
    <x v="1"/>
    <x v="1"/>
    <x v="1"/>
    <x v="0"/>
    <x v="0"/>
    <x v="20"/>
  </r>
  <r>
    <x v="1355"/>
    <x v="11"/>
    <x v="8"/>
    <n v="34"/>
    <n v="272"/>
    <x v="51"/>
    <x v="7"/>
    <d v="2025-02-26T00:00:00"/>
    <x v="0"/>
    <x v="2"/>
    <x v="2"/>
    <x v="0"/>
    <x v="2"/>
    <x v="0"/>
    <x v="52"/>
  </r>
  <r>
    <x v="1356"/>
    <x v="6"/>
    <x v="0"/>
    <n v="66.3"/>
    <n v="66.3"/>
    <x v="51"/>
    <x v="7"/>
    <d v="2025-02-22T00:00:00"/>
    <x v="3"/>
    <x v="2"/>
    <x v="2"/>
    <x v="1"/>
    <x v="0"/>
    <x v="0"/>
    <x v="13"/>
  </r>
  <r>
    <x v="1357"/>
    <x v="7"/>
    <x v="0"/>
    <n v="33.5"/>
    <n v="33.5"/>
    <x v="51"/>
    <x v="7"/>
    <d v="2025-02-25T00:00:00"/>
    <x v="5"/>
    <x v="1"/>
    <x v="1"/>
    <x v="2"/>
    <x v="0"/>
    <x v="0"/>
    <x v="13"/>
  </r>
  <r>
    <x v="1358"/>
    <x v="12"/>
    <x v="1"/>
    <n v="70.8"/>
    <n v="141.6"/>
    <x v="51"/>
    <x v="7"/>
    <d v="2025-02-22T00:00:00"/>
    <x v="3"/>
    <x v="0"/>
    <x v="0"/>
    <x v="0"/>
    <x v="0"/>
    <x v="0"/>
    <x v="28"/>
  </r>
  <r>
    <x v="1359"/>
    <x v="6"/>
    <x v="1"/>
    <n v="127.6"/>
    <n v="255.2"/>
    <x v="51"/>
    <x v="7"/>
    <d v="2025-02-22T00:00:00"/>
    <x v="3"/>
    <x v="1"/>
    <x v="1"/>
    <x v="0"/>
    <x v="0"/>
    <x v="0"/>
    <x v="21"/>
  </r>
  <r>
    <x v="1360"/>
    <x v="6"/>
    <x v="2"/>
    <n v="95.9"/>
    <n v="287.70000000000005"/>
    <x v="51"/>
    <x v="7"/>
    <d v="2025-02-22T00:00:00"/>
    <x v="3"/>
    <x v="2"/>
    <x v="2"/>
    <x v="1"/>
    <x v="1"/>
    <x v="0"/>
    <x v="21"/>
  </r>
  <r>
    <x v="1361"/>
    <x v="2"/>
    <x v="1"/>
    <n v="78.099999999999994"/>
    <n v="156.19999999999999"/>
    <x v="51"/>
    <x v="7"/>
    <d v="2025-02-22T00:00:00"/>
    <x v="3"/>
    <x v="1"/>
    <x v="1"/>
    <x v="0"/>
    <x v="0"/>
    <x v="0"/>
    <x v="1"/>
  </r>
  <r>
    <x v="1362"/>
    <x v="13"/>
    <x v="1"/>
    <n v="43.2"/>
    <n v="86.4"/>
    <x v="51"/>
    <x v="7"/>
    <d v="2025-02-22T00:00:00"/>
    <x v="3"/>
    <x v="0"/>
    <x v="0"/>
    <x v="1"/>
    <x v="1"/>
    <x v="0"/>
    <x v="1"/>
  </r>
  <r>
    <x v="1363"/>
    <x v="8"/>
    <x v="12"/>
    <n v="28.4"/>
    <n v="113.6"/>
    <x v="51"/>
    <x v="7"/>
    <d v="2025-02-27T00:00:00"/>
    <x v="4"/>
    <x v="1"/>
    <x v="1"/>
    <x v="2"/>
    <x v="0"/>
    <x v="0"/>
    <x v="3"/>
  </r>
  <r>
    <x v="1364"/>
    <x v="2"/>
    <x v="1"/>
    <n v="81.7"/>
    <n v="163.4"/>
    <x v="51"/>
    <x v="7"/>
    <d v="2025-02-21T00:00:00"/>
    <x v="7"/>
    <x v="1"/>
    <x v="1"/>
    <x v="0"/>
    <x v="0"/>
    <x v="0"/>
    <x v="3"/>
  </r>
  <r>
    <x v="1365"/>
    <x v="18"/>
    <x v="1"/>
    <n v="56.7"/>
    <n v="113.4"/>
    <x v="51"/>
    <x v="7"/>
    <d v="2025-02-23T00:00:00"/>
    <x v="1"/>
    <x v="0"/>
    <x v="0"/>
    <x v="0"/>
    <x v="2"/>
    <x v="0"/>
    <x v="3"/>
  </r>
  <r>
    <x v="1366"/>
    <x v="3"/>
    <x v="12"/>
    <n v="66.5"/>
    <n v="266"/>
    <x v="51"/>
    <x v="7"/>
    <d v="2025-02-21T00:00:00"/>
    <x v="7"/>
    <x v="2"/>
    <x v="2"/>
    <x v="0"/>
    <x v="2"/>
    <x v="0"/>
    <x v="3"/>
  </r>
  <r>
    <x v="1367"/>
    <x v="1"/>
    <x v="1"/>
    <n v="105.3"/>
    <n v="210.6"/>
    <x v="51"/>
    <x v="7"/>
    <d v="2025-02-25T00:00:00"/>
    <x v="5"/>
    <x v="1"/>
    <x v="1"/>
    <x v="0"/>
    <x v="1"/>
    <x v="0"/>
    <x v="3"/>
  </r>
  <r>
    <x v="1368"/>
    <x v="10"/>
    <x v="9"/>
    <n v="33.799999999999997"/>
    <n v="169"/>
    <x v="51"/>
    <x v="7"/>
    <d v="2025-02-26T00:00:00"/>
    <x v="0"/>
    <x v="1"/>
    <x v="1"/>
    <x v="0"/>
    <x v="0"/>
    <x v="0"/>
    <x v="3"/>
  </r>
  <r>
    <x v="1369"/>
    <x v="6"/>
    <x v="2"/>
    <n v="63.4"/>
    <n v="190.2"/>
    <x v="51"/>
    <x v="7"/>
    <d v="2025-02-26T00:00:00"/>
    <x v="0"/>
    <x v="1"/>
    <x v="1"/>
    <x v="3"/>
    <x v="1"/>
    <x v="0"/>
    <x v="24"/>
  </r>
  <r>
    <x v="1370"/>
    <x v="6"/>
    <x v="2"/>
    <n v="49"/>
    <n v="147"/>
    <x v="51"/>
    <x v="7"/>
    <d v="2025-02-25T00:00:00"/>
    <x v="5"/>
    <x v="1"/>
    <x v="1"/>
    <x v="3"/>
    <x v="0"/>
    <x v="0"/>
    <x v="49"/>
  </r>
  <r>
    <x v="1371"/>
    <x v="1"/>
    <x v="1"/>
    <n v="40"/>
    <n v="80"/>
    <x v="51"/>
    <x v="7"/>
    <d v="2025-02-22T00:00:00"/>
    <x v="3"/>
    <x v="2"/>
    <x v="2"/>
    <x v="4"/>
    <x v="1"/>
    <x v="0"/>
    <x v="23"/>
  </r>
  <r>
    <x v="1372"/>
    <x v="6"/>
    <x v="12"/>
    <n v="86.3"/>
    <n v="345.2"/>
    <x v="51"/>
    <x v="7"/>
    <d v="2025-02-22T00:00:00"/>
    <x v="3"/>
    <x v="3"/>
    <x v="3"/>
    <x v="0"/>
    <x v="0"/>
    <x v="0"/>
    <x v="6"/>
  </r>
  <r>
    <x v="1373"/>
    <x v="6"/>
    <x v="0"/>
    <n v="51.6"/>
    <n v="51.6"/>
    <x v="51"/>
    <x v="7"/>
    <d v="2025-02-23T00:00:00"/>
    <x v="1"/>
    <x v="2"/>
    <x v="2"/>
    <x v="2"/>
    <x v="2"/>
    <x v="0"/>
    <x v="6"/>
  </r>
  <r>
    <x v="1374"/>
    <x v="10"/>
    <x v="2"/>
    <n v="26.7"/>
    <n v="80.099999999999994"/>
    <x v="51"/>
    <x v="7"/>
    <d v="2025-02-26T00:00:00"/>
    <x v="0"/>
    <x v="2"/>
    <x v="2"/>
    <x v="2"/>
    <x v="1"/>
    <x v="0"/>
    <x v="6"/>
  </r>
  <r>
    <x v="1375"/>
    <x v="18"/>
    <x v="1"/>
    <n v="68.099999999999994"/>
    <n v="136.19999999999999"/>
    <x v="51"/>
    <x v="7"/>
    <d v="2025-02-22T00:00:00"/>
    <x v="3"/>
    <x v="1"/>
    <x v="1"/>
    <x v="0"/>
    <x v="1"/>
    <x v="0"/>
    <x v="6"/>
  </r>
  <r>
    <x v="1376"/>
    <x v="1"/>
    <x v="0"/>
    <n v="81.7"/>
    <n v="81.7"/>
    <x v="51"/>
    <x v="7"/>
    <d v="2025-02-22T00:00:00"/>
    <x v="3"/>
    <x v="1"/>
    <x v="1"/>
    <x v="0"/>
    <x v="0"/>
    <x v="0"/>
    <x v="7"/>
  </r>
  <r>
    <x v="1377"/>
    <x v="18"/>
    <x v="7"/>
    <n v="25.1"/>
    <n v="251"/>
    <x v="51"/>
    <x v="7"/>
    <d v="2025-02-24T00:00:00"/>
    <x v="2"/>
    <x v="1"/>
    <x v="1"/>
    <x v="3"/>
    <x v="1"/>
    <x v="0"/>
    <x v="8"/>
  </r>
  <r>
    <x v="1378"/>
    <x v="8"/>
    <x v="0"/>
    <n v="20.2"/>
    <n v="20.2"/>
    <x v="51"/>
    <x v="7"/>
    <d v="2025-02-25T00:00:00"/>
    <x v="5"/>
    <x v="2"/>
    <x v="2"/>
    <x v="0"/>
    <x v="0"/>
    <x v="0"/>
    <x v="8"/>
  </r>
  <r>
    <x v="1379"/>
    <x v="8"/>
    <x v="2"/>
    <n v="15.4"/>
    <n v="46.2"/>
    <x v="51"/>
    <x v="7"/>
    <d v="2025-02-22T00:00:00"/>
    <x v="3"/>
    <x v="1"/>
    <x v="1"/>
    <x v="1"/>
    <x v="2"/>
    <x v="0"/>
    <x v="8"/>
  </r>
  <r>
    <x v="1380"/>
    <x v="10"/>
    <x v="0"/>
    <n v="59.2"/>
    <n v="59.2"/>
    <x v="51"/>
    <x v="7"/>
    <d v="2025-02-22T00:00:00"/>
    <x v="3"/>
    <x v="1"/>
    <x v="1"/>
    <x v="2"/>
    <x v="2"/>
    <x v="0"/>
    <x v="17"/>
  </r>
  <r>
    <x v="1381"/>
    <x v="0"/>
    <x v="0"/>
    <n v="46.7"/>
    <n v="46.7"/>
    <x v="51"/>
    <x v="7"/>
    <d v="2025-02-26T00:00:00"/>
    <x v="0"/>
    <x v="1"/>
    <x v="1"/>
    <x v="0"/>
    <x v="0"/>
    <x v="0"/>
    <x v="17"/>
  </r>
  <r>
    <x v="1382"/>
    <x v="6"/>
    <x v="20"/>
    <n v="41.6"/>
    <n v="624"/>
    <x v="51"/>
    <x v="7"/>
    <d v="2025-02-23T00:00:00"/>
    <x v="1"/>
    <x v="1"/>
    <x v="1"/>
    <x v="1"/>
    <x v="0"/>
    <x v="0"/>
    <x v="26"/>
  </r>
  <r>
    <x v="1383"/>
    <x v="8"/>
    <x v="1"/>
    <n v="19.2"/>
    <n v="38.4"/>
    <x v="51"/>
    <x v="7"/>
    <d v="2025-02-24T00:00:00"/>
    <x v="2"/>
    <x v="1"/>
    <x v="1"/>
    <x v="4"/>
    <x v="2"/>
    <x v="0"/>
    <x v="9"/>
  </r>
  <r>
    <x v="1384"/>
    <x v="17"/>
    <x v="3"/>
    <n v="41.8"/>
    <n v="292.59999999999997"/>
    <x v="51"/>
    <x v="7"/>
    <d v="2025-02-23T00:00:00"/>
    <x v="1"/>
    <x v="2"/>
    <x v="2"/>
    <x v="2"/>
    <x v="0"/>
    <x v="0"/>
    <x v="11"/>
  </r>
  <r>
    <x v="1385"/>
    <x v="8"/>
    <x v="13"/>
    <n v="37.4"/>
    <n v="224.39999999999998"/>
    <x v="51"/>
    <x v="7"/>
    <d v="2025-02-23T00:00:00"/>
    <x v="1"/>
    <x v="1"/>
    <x v="1"/>
    <x v="0"/>
    <x v="2"/>
    <x v="0"/>
    <x v="11"/>
  </r>
  <r>
    <x v="1386"/>
    <x v="10"/>
    <x v="2"/>
    <n v="60.2"/>
    <n v="180.60000000000002"/>
    <x v="51"/>
    <x v="7"/>
    <d v="2025-02-24T00:00:00"/>
    <x v="2"/>
    <x v="1"/>
    <x v="1"/>
    <x v="4"/>
    <x v="1"/>
    <x v="0"/>
    <x v="38"/>
  </r>
  <r>
    <x v="1387"/>
    <x v="9"/>
    <x v="1"/>
    <n v="91.5"/>
    <n v="183"/>
    <x v="52"/>
    <x v="7"/>
    <d v="2025-02-23T00:00:00"/>
    <x v="3"/>
    <x v="1"/>
    <x v="1"/>
    <x v="0"/>
    <x v="0"/>
    <x v="0"/>
    <x v="13"/>
  </r>
  <r>
    <x v="1388"/>
    <x v="3"/>
    <x v="9"/>
    <n v="55.7"/>
    <n v="278.5"/>
    <x v="52"/>
    <x v="7"/>
    <d v="2025-02-24T00:00:00"/>
    <x v="1"/>
    <x v="0"/>
    <x v="0"/>
    <x v="1"/>
    <x v="2"/>
    <x v="0"/>
    <x v="21"/>
  </r>
  <r>
    <x v="1389"/>
    <x v="7"/>
    <x v="1"/>
    <n v="76.7"/>
    <n v="153.4"/>
    <x v="52"/>
    <x v="7"/>
    <d v="2025-02-24T00:00:00"/>
    <x v="1"/>
    <x v="1"/>
    <x v="1"/>
    <x v="0"/>
    <x v="1"/>
    <x v="0"/>
    <x v="21"/>
  </r>
  <r>
    <x v="1390"/>
    <x v="8"/>
    <x v="38"/>
    <n v="28.2"/>
    <n v="592.19999999999993"/>
    <x v="52"/>
    <x v="7"/>
    <d v="2025-02-27T00:00:00"/>
    <x v="0"/>
    <x v="1"/>
    <x v="1"/>
    <x v="2"/>
    <x v="0"/>
    <x v="0"/>
    <x v="1"/>
  </r>
  <r>
    <x v="1391"/>
    <x v="7"/>
    <x v="9"/>
    <n v="93.2"/>
    <n v="466"/>
    <x v="52"/>
    <x v="7"/>
    <d v="2025-02-24T00:00:00"/>
    <x v="1"/>
    <x v="2"/>
    <x v="2"/>
    <x v="4"/>
    <x v="2"/>
    <x v="0"/>
    <x v="1"/>
  </r>
  <r>
    <x v="1392"/>
    <x v="17"/>
    <x v="0"/>
    <n v="33.299999999999997"/>
    <n v="33.299999999999997"/>
    <x v="52"/>
    <x v="7"/>
    <d v="2025-02-23T00:00:00"/>
    <x v="3"/>
    <x v="1"/>
    <x v="1"/>
    <x v="4"/>
    <x v="0"/>
    <x v="0"/>
    <x v="2"/>
  </r>
  <r>
    <x v="1393"/>
    <x v="10"/>
    <x v="1"/>
    <n v="39.1"/>
    <n v="78.2"/>
    <x v="52"/>
    <x v="7"/>
    <d v="2025-02-25T00:00:00"/>
    <x v="2"/>
    <x v="1"/>
    <x v="1"/>
    <x v="0"/>
    <x v="0"/>
    <x v="0"/>
    <x v="44"/>
  </r>
  <r>
    <x v="1394"/>
    <x v="7"/>
    <x v="4"/>
    <n v="45.3"/>
    <n v="543.59999999999991"/>
    <x v="52"/>
    <x v="7"/>
    <d v="2025-02-23T00:00:00"/>
    <x v="3"/>
    <x v="1"/>
    <x v="1"/>
    <x v="2"/>
    <x v="0"/>
    <x v="0"/>
    <x v="33"/>
  </r>
  <r>
    <x v="1395"/>
    <x v="9"/>
    <x v="3"/>
    <n v="33.9"/>
    <n v="237.29999999999998"/>
    <x v="52"/>
    <x v="7"/>
    <d v="2025-02-23T00:00:00"/>
    <x v="3"/>
    <x v="1"/>
    <x v="1"/>
    <x v="4"/>
    <x v="0"/>
    <x v="0"/>
    <x v="33"/>
  </r>
  <r>
    <x v="1396"/>
    <x v="8"/>
    <x v="2"/>
    <n v="19"/>
    <n v="57"/>
    <x v="52"/>
    <x v="7"/>
    <d v="2025-02-23T00:00:00"/>
    <x v="3"/>
    <x v="1"/>
    <x v="1"/>
    <x v="0"/>
    <x v="2"/>
    <x v="0"/>
    <x v="15"/>
  </r>
  <r>
    <x v="1397"/>
    <x v="4"/>
    <x v="0"/>
    <n v="41.9"/>
    <n v="41.9"/>
    <x v="52"/>
    <x v="7"/>
    <d v="2025-02-25T00:00:00"/>
    <x v="2"/>
    <x v="2"/>
    <x v="2"/>
    <x v="2"/>
    <x v="0"/>
    <x v="0"/>
    <x v="22"/>
  </r>
  <r>
    <x v="1398"/>
    <x v="1"/>
    <x v="12"/>
    <n v="37.5"/>
    <n v="150"/>
    <x v="52"/>
    <x v="7"/>
    <d v="2025-02-22T00:00:00"/>
    <x v="7"/>
    <x v="2"/>
    <x v="2"/>
    <x v="0"/>
    <x v="0"/>
    <x v="0"/>
    <x v="3"/>
  </r>
  <r>
    <x v="1399"/>
    <x v="0"/>
    <x v="1"/>
    <n v="40.799999999999997"/>
    <n v="81.599999999999994"/>
    <x v="52"/>
    <x v="7"/>
    <d v="2025-02-25T00:00:00"/>
    <x v="2"/>
    <x v="1"/>
    <x v="1"/>
    <x v="0"/>
    <x v="0"/>
    <x v="0"/>
    <x v="3"/>
  </r>
  <r>
    <x v="1400"/>
    <x v="0"/>
    <x v="12"/>
    <n v="23.1"/>
    <n v="92.4"/>
    <x v="52"/>
    <x v="7"/>
    <d v="2025-02-23T00:00:00"/>
    <x v="3"/>
    <x v="2"/>
    <x v="2"/>
    <x v="4"/>
    <x v="0"/>
    <x v="0"/>
    <x v="3"/>
  </r>
  <r>
    <x v="1401"/>
    <x v="8"/>
    <x v="9"/>
    <n v="39.299999999999997"/>
    <n v="196.5"/>
    <x v="52"/>
    <x v="7"/>
    <d v="2025-02-23T00:00:00"/>
    <x v="3"/>
    <x v="2"/>
    <x v="2"/>
    <x v="0"/>
    <x v="0"/>
    <x v="0"/>
    <x v="3"/>
  </r>
  <r>
    <x v="1402"/>
    <x v="2"/>
    <x v="12"/>
    <n v="85.2"/>
    <n v="340.8"/>
    <x v="52"/>
    <x v="7"/>
    <d v="2025-02-27T00:00:00"/>
    <x v="0"/>
    <x v="1"/>
    <x v="1"/>
    <x v="2"/>
    <x v="0"/>
    <x v="0"/>
    <x v="3"/>
  </r>
  <r>
    <x v="1403"/>
    <x v="8"/>
    <x v="13"/>
    <n v="16"/>
    <n v="96"/>
    <x v="52"/>
    <x v="7"/>
    <d v="2025-02-25T00:00:00"/>
    <x v="2"/>
    <x v="1"/>
    <x v="1"/>
    <x v="1"/>
    <x v="0"/>
    <x v="0"/>
    <x v="3"/>
  </r>
  <r>
    <x v="1404"/>
    <x v="1"/>
    <x v="1"/>
    <n v="33.799999999999997"/>
    <n v="67.599999999999994"/>
    <x v="52"/>
    <x v="7"/>
    <d v="2025-02-26T00:00:00"/>
    <x v="5"/>
    <x v="2"/>
    <x v="2"/>
    <x v="1"/>
    <x v="0"/>
    <x v="0"/>
    <x v="3"/>
  </r>
  <r>
    <x v="1405"/>
    <x v="3"/>
    <x v="0"/>
    <n v="70"/>
    <n v="70"/>
    <x v="52"/>
    <x v="7"/>
    <d v="2025-02-23T00:00:00"/>
    <x v="3"/>
    <x v="2"/>
    <x v="2"/>
    <x v="0"/>
    <x v="0"/>
    <x v="0"/>
    <x v="3"/>
  </r>
  <r>
    <x v="1406"/>
    <x v="9"/>
    <x v="0"/>
    <n v="88"/>
    <n v="88"/>
    <x v="52"/>
    <x v="7"/>
    <d v="2025-02-27T00:00:00"/>
    <x v="0"/>
    <x v="2"/>
    <x v="2"/>
    <x v="3"/>
    <x v="0"/>
    <x v="0"/>
    <x v="3"/>
  </r>
  <r>
    <x v="1407"/>
    <x v="2"/>
    <x v="2"/>
    <n v="74.099999999999994"/>
    <n v="222.29999999999998"/>
    <x v="52"/>
    <x v="7"/>
    <d v="2025-02-22T00:00:00"/>
    <x v="7"/>
    <x v="1"/>
    <x v="1"/>
    <x v="4"/>
    <x v="1"/>
    <x v="0"/>
    <x v="3"/>
  </r>
  <r>
    <x v="1408"/>
    <x v="2"/>
    <x v="0"/>
    <n v="161.9"/>
    <n v="161.9"/>
    <x v="52"/>
    <x v="7"/>
    <d v="2025-02-24T00:00:00"/>
    <x v="1"/>
    <x v="1"/>
    <x v="1"/>
    <x v="2"/>
    <x v="0"/>
    <x v="0"/>
    <x v="3"/>
  </r>
  <r>
    <x v="1409"/>
    <x v="4"/>
    <x v="1"/>
    <n v="44"/>
    <n v="88"/>
    <x v="52"/>
    <x v="7"/>
    <d v="2025-02-23T00:00:00"/>
    <x v="3"/>
    <x v="3"/>
    <x v="3"/>
    <x v="4"/>
    <x v="1"/>
    <x v="0"/>
    <x v="3"/>
  </r>
  <r>
    <x v="1410"/>
    <x v="11"/>
    <x v="0"/>
    <n v="32.1"/>
    <n v="32.1"/>
    <x v="52"/>
    <x v="7"/>
    <d v="2025-02-22T00:00:00"/>
    <x v="7"/>
    <x v="2"/>
    <x v="2"/>
    <x v="3"/>
    <x v="3"/>
    <x v="0"/>
    <x v="3"/>
  </r>
  <r>
    <x v="1411"/>
    <x v="2"/>
    <x v="12"/>
    <n v="104.8"/>
    <n v="419.2"/>
    <x v="53"/>
    <x v="8"/>
    <d v="2025-02-25T00:00:00"/>
    <x v="1"/>
    <x v="3"/>
    <x v="3"/>
    <x v="0"/>
    <x v="0"/>
    <x v="0"/>
    <x v="3"/>
  </r>
  <r>
    <x v="1412"/>
    <x v="9"/>
    <x v="13"/>
    <n v="67.400000000000006"/>
    <n v="404.40000000000003"/>
    <x v="53"/>
    <x v="8"/>
    <d v="2025-02-24T00:00:00"/>
    <x v="3"/>
    <x v="2"/>
    <x v="2"/>
    <x v="3"/>
    <x v="0"/>
    <x v="0"/>
    <x v="3"/>
  </r>
  <r>
    <x v="1413"/>
    <x v="6"/>
    <x v="1"/>
    <n v="115.2"/>
    <n v="230.4"/>
    <x v="53"/>
    <x v="8"/>
    <d v="2025-02-24T00:00:00"/>
    <x v="3"/>
    <x v="2"/>
    <x v="2"/>
    <x v="1"/>
    <x v="0"/>
    <x v="0"/>
    <x v="4"/>
  </r>
  <r>
    <x v="1414"/>
    <x v="8"/>
    <x v="19"/>
    <n v="15.5"/>
    <n v="449.5"/>
    <x v="53"/>
    <x v="8"/>
    <d v="2025-02-25T00:00:00"/>
    <x v="1"/>
    <x v="2"/>
    <x v="2"/>
    <x v="0"/>
    <x v="1"/>
    <x v="0"/>
    <x v="23"/>
  </r>
  <r>
    <x v="1415"/>
    <x v="6"/>
    <x v="5"/>
    <n v="66.400000000000006"/>
    <n v="730.40000000000009"/>
    <x v="53"/>
    <x v="8"/>
    <d v="2025-02-25T00:00:00"/>
    <x v="1"/>
    <x v="2"/>
    <x v="2"/>
    <x v="0"/>
    <x v="0"/>
    <x v="0"/>
    <x v="6"/>
  </r>
  <r>
    <x v="1416"/>
    <x v="9"/>
    <x v="4"/>
    <n v="68.099999999999994"/>
    <n v="817.19999999999993"/>
    <x v="53"/>
    <x v="8"/>
    <d v="2025-02-24T00:00:00"/>
    <x v="3"/>
    <x v="2"/>
    <x v="2"/>
    <x v="2"/>
    <x v="0"/>
    <x v="0"/>
    <x v="8"/>
  </r>
  <r>
    <x v="1417"/>
    <x v="8"/>
    <x v="9"/>
    <n v="32.5"/>
    <n v="162.5"/>
    <x v="53"/>
    <x v="8"/>
    <d v="2025-02-27T00:00:00"/>
    <x v="5"/>
    <x v="1"/>
    <x v="1"/>
    <x v="2"/>
    <x v="1"/>
    <x v="0"/>
    <x v="8"/>
  </r>
  <r>
    <x v="1418"/>
    <x v="15"/>
    <x v="2"/>
    <n v="61.2"/>
    <n v="183.60000000000002"/>
    <x v="53"/>
    <x v="8"/>
    <d v="2025-02-25T00:00:00"/>
    <x v="1"/>
    <x v="2"/>
    <x v="2"/>
    <x v="1"/>
    <x v="1"/>
    <x v="0"/>
    <x v="8"/>
  </r>
  <r>
    <x v="1419"/>
    <x v="9"/>
    <x v="1"/>
    <n v="54.2"/>
    <n v="108.4"/>
    <x v="53"/>
    <x v="8"/>
    <d v="2025-02-24T00:00:00"/>
    <x v="3"/>
    <x v="2"/>
    <x v="2"/>
    <x v="1"/>
    <x v="0"/>
    <x v="0"/>
    <x v="8"/>
  </r>
  <r>
    <x v="1420"/>
    <x v="11"/>
    <x v="8"/>
    <n v="28.7"/>
    <n v="229.6"/>
    <x v="53"/>
    <x v="8"/>
    <d v="2025-02-25T00:00:00"/>
    <x v="1"/>
    <x v="1"/>
    <x v="1"/>
    <x v="1"/>
    <x v="0"/>
    <x v="0"/>
    <x v="9"/>
  </r>
  <r>
    <x v="1421"/>
    <x v="12"/>
    <x v="13"/>
    <n v="38.200000000000003"/>
    <n v="229.20000000000002"/>
    <x v="53"/>
    <x v="8"/>
    <d v="2025-02-27T00:00:00"/>
    <x v="5"/>
    <x v="2"/>
    <x v="2"/>
    <x v="0"/>
    <x v="1"/>
    <x v="0"/>
    <x v="9"/>
  </r>
  <r>
    <x v="1422"/>
    <x v="8"/>
    <x v="4"/>
    <n v="17.600000000000001"/>
    <n v="211.20000000000002"/>
    <x v="53"/>
    <x v="8"/>
    <d v="2025-02-24T00:00:00"/>
    <x v="3"/>
    <x v="2"/>
    <x v="2"/>
    <x v="2"/>
    <x v="1"/>
    <x v="0"/>
    <x v="9"/>
  </r>
  <r>
    <x v="1423"/>
    <x v="10"/>
    <x v="2"/>
    <n v="74.599999999999994"/>
    <n v="223.79999999999998"/>
    <x v="53"/>
    <x v="8"/>
    <d v="2025-02-23T00:00:00"/>
    <x v="7"/>
    <x v="2"/>
    <x v="2"/>
    <x v="2"/>
    <x v="0"/>
    <x v="0"/>
    <x v="11"/>
  </r>
  <r>
    <x v="1424"/>
    <x v="16"/>
    <x v="20"/>
    <n v="72.599999999999994"/>
    <n v="1089"/>
    <x v="53"/>
    <x v="8"/>
    <d v="2025-02-23T00:00:00"/>
    <x v="7"/>
    <x v="0"/>
    <x v="0"/>
    <x v="1"/>
    <x v="1"/>
    <x v="0"/>
    <x v="11"/>
  </r>
  <r>
    <x v="1425"/>
    <x v="7"/>
    <x v="0"/>
    <n v="62.3"/>
    <n v="62.3"/>
    <x v="53"/>
    <x v="8"/>
    <d v="2025-02-24T00:00:00"/>
    <x v="3"/>
    <x v="2"/>
    <x v="2"/>
    <x v="1"/>
    <x v="0"/>
    <x v="0"/>
    <x v="11"/>
  </r>
  <r>
    <x v="1426"/>
    <x v="3"/>
    <x v="2"/>
    <n v="33.799999999999997"/>
    <n v="101.39999999999999"/>
    <x v="53"/>
    <x v="8"/>
    <d v="2025-02-25T00:00:00"/>
    <x v="1"/>
    <x v="1"/>
    <x v="1"/>
    <x v="0"/>
    <x v="2"/>
    <x v="0"/>
    <x v="20"/>
  </r>
  <r>
    <x v="1427"/>
    <x v="9"/>
    <x v="0"/>
    <n v="85.7"/>
    <n v="85.7"/>
    <x v="53"/>
    <x v="8"/>
    <d v="2025-02-26T00:00:00"/>
    <x v="2"/>
    <x v="1"/>
    <x v="1"/>
    <x v="3"/>
    <x v="1"/>
    <x v="0"/>
    <x v="21"/>
  </r>
  <r>
    <x v="1428"/>
    <x v="6"/>
    <x v="1"/>
    <n v="92.1"/>
    <n v="184.2"/>
    <x v="53"/>
    <x v="8"/>
    <d v="2025-02-25T00:00:00"/>
    <x v="1"/>
    <x v="1"/>
    <x v="1"/>
    <x v="1"/>
    <x v="0"/>
    <x v="0"/>
    <x v="21"/>
  </r>
  <r>
    <x v="1429"/>
    <x v="16"/>
    <x v="2"/>
    <n v="65.099999999999994"/>
    <n v="195.29999999999998"/>
    <x v="53"/>
    <x v="8"/>
    <d v="2025-02-26T00:00:00"/>
    <x v="2"/>
    <x v="1"/>
    <x v="1"/>
    <x v="0"/>
    <x v="0"/>
    <x v="0"/>
    <x v="1"/>
  </r>
  <r>
    <x v="1430"/>
    <x v="9"/>
    <x v="3"/>
    <n v="20.3"/>
    <n v="142.1"/>
    <x v="53"/>
    <x v="8"/>
    <d v="2025-02-24T00:00:00"/>
    <x v="3"/>
    <x v="2"/>
    <x v="2"/>
    <x v="2"/>
    <x v="2"/>
    <x v="0"/>
    <x v="2"/>
  </r>
  <r>
    <x v="1431"/>
    <x v="19"/>
    <x v="1"/>
    <n v="29.8"/>
    <n v="59.6"/>
    <x v="53"/>
    <x v="8"/>
    <d v="2025-02-25T00:00:00"/>
    <x v="1"/>
    <x v="2"/>
    <x v="2"/>
    <x v="1"/>
    <x v="2"/>
    <x v="0"/>
    <x v="34"/>
  </r>
  <r>
    <x v="1432"/>
    <x v="0"/>
    <x v="1"/>
    <n v="24.2"/>
    <n v="48.4"/>
    <x v="53"/>
    <x v="8"/>
    <d v="2025-02-25T00:00:00"/>
    <x v="1"/>
    <x v="2"/>
    <x v="2"/>
    <x v="3"/>
    <x v="2"/>
    <x v="0"/>
    <x v="3"/>
  </r>
  <r>
    <x v="1433"/>
    <x v="3"/>
    <x v="0"/>
    <n v="57.3"/>
    <n v="57.3"/>
    <x v="53"/>
    <x v="8"/>
    <d v="2025-02-25T00:00:00"/>
    <x v="1"/>
    <x v="1"/>
    <x v="1"/>
    <x v="0"/>
    <x v="0"/>
    <x v="0"/>
    <x v="3"/>
  </r>
  <r>
    <x v="1434"/>
    <x v="2"/>
    <x v="0"/>
    <n v="108.9"/>
    <n v="108.9"/>
    <x v="53"/>
    <x v="8"/>
    <d v="2025-02-25T00:00:00"/>
    <x v="1"/>
    <x v="2"/>
    <x v="2"/>
    <x v="1"/>
    <x v="0"/>
    <x v="0"/>
    <x v="3"/>
  </r>
  <r>
    <x v="1435"/>
    <x v="7"/>
    <x v="9"/>
    <n v="50.7"/>
    <n v="253.5"/>
    <x v="53"/>
    <x v="8"/>
    <d v="2025-02-24T00:00:00"/>
    <x v="3"/>
    <x v="2"/>
    <x v="2"/>
    <x v="0"/>
    <x v="0"/>
    <x v="0"/>
    <x v="3"/>
  </r>
  <r>
    <x v="1436"/>
    <x v="7"/>
    <x v="11"/>
    <n v="66.099999999999994"/>
    <n v="594.9"/>
    <x v="53"/>
    <x v="8"/>
    <d v="2025-03-09T00:00:00"/>
    <x v="12"/>
    <x v="2"/>
    <x v="2"/>
    <x v="1"/>
    <x v="0"/>
    <x v="0"/>
    <x v="3"/>
  </r>
  <r>
    <x v="1437"/>
    <x v="12"/>
    <x v="9"/>
    <n v="36.700000000000003"/>
    <n v="183.5"/>
    <x v="53"/>
    <x v="8"/>
    <d v="2025-02-27T00:00:00"/>
    <x v="5"/>
    <x v="2"/>
    <x v="2"/>
    <x v="4"/>
    <x v="0"/>
    <x v="0"/>
    <x v="3"/>
  </r>
  <r>
    <x v="1438"/>
    <x v="8"/>
    <x v="14"/>
    <n v="19.3"/>
    <n v="328.1"/>
    <x v="53"/>
    <x v="8"/>
    <d v="2025-02-25T00:00:00"/>
    <x v="1"/>
    <x v="1"/>
    <x v="1"/>
    <x v="0"/>
    <x v="0"/>
    <x v="0"/>
    <x v="43"/>
  </r>
  <r>
    <x v="1439"/>
    <x v="8"/>
    <x v="12"/>
    <n v="20.7"/>
    <n v="82.8"/>
    <x v="53"/>
    <x v="8"/>
    <d v="2025-02-24T00:00:00"/>
    <x v="3"/>
    <x v="1"/>
    <x v="1"/>
    <x v="1"/>
    <x v="2"/>
    <x v="0"/>
    <x v="6"/>
  </r>
  <r>
    <x v="1440"/>
    <x v="5"/>
    <x v="2"/>
    <n v="54.7"/>
    <n v="164.10000000000002"/>
    <x v="53"/>
    <x v="8"/>
    <d v="2025-02-23T00:00:00"/>
    <x v="7"/>
    <x v="3"/>
    <x v="3"/>
    <x v="1"/>
    <x v="4"/>
    <x v="0"/>
    <x v="6"/>
  </r>
  <r>
    <x v="1441"/>
    <x v="4"/>
    <x v="1"/>
    <n v="19.8"/>
    <n v="39.6"/>
    <x v="53"/>
    <x v="8"/>
    <d v="2025-02-27T00:00:00"/>
    <x v="5"/>
    <x v="2"/>
    <x v="2"/>
    <x v="4"/>
    <x v="1"/>
    <x v="0"/>
    <x v="8"/>
  </r>
  <r>
    <x v="1442"/>
    <x v="7"/>
    <x v="0"/>
    <n v="41.1"/>
    <n v="41.1"/>
    <x v="53"/>
    <x v="8"/>
    <d v="2025-02-25T00:00:00"/>
    <x v="1"/>
    <x v="2"/>
    <x v="2"/>
    <x v="0"/>
    <x v="2"/>
    <x v="0"/>
    <x v="8"/>
  </r>
  <r>
    <x v="1443"/>
    <x v="11"/>
    <x v="8"/>
    <n v="43.5"/>
    <n v="348"/>
    <x v="53"/>
    <x v="8"/>
    <d v="2025-02-27T00:00:00"/>
    <x v="5"/>
    <x v="2"/>
    <x v="2"/>
    <x v="3"/>
    <x v="0"/>
    <x v="0"/>
    <x v="8"/>
  </r>
  <r>
    <x v="1444"/>
    <x v="8"/>
    <x v="21"/>
    <n v="19"/>
    <n v="266"/>
    <x v="53"/>
    <x v="8"/>
    <d v="2025-02-24T00:00:00"/>
    <x v="3"/>
    <x v="1"/>
    <x v="1"/>
    <x v="0"/>
    <x v="0"/>
    <x v="0"/>
    <x v="26"/>
  </r>
  <r>
    <x v="1445"/>
    <x v="2"/>
    <x v="12"/>
    <n v="51.4"/>
    <n v="205.6"/>
    <x v="53"/>
    <x v="8"/>
    <d v="2025-02-23T00:00:00"/>
    <x v="7"/>
    <x v="2"/>
    <x v="2"/>
    <x v="0"/>
    <x v="0"/>
    <x v="0"/>
    <x v="26"/>
  </r>
  <r>
    <x v="1446"/>
    <x v="10"/>
    <x v="1"/>
    <n v="39.799999999999997"/>
    <n v="79.599999999999994"/>
    <x v="53"/>
    <x v="8"/>
    <d v="2025-02-26T00:00:00"/>
    <x v="2"/>
    <x v="1"/>
    <x v="1"/>
    <x v="3"/>
    <x v="1"/>
    <x v="0"/>
    <x v="13"/>
  </r>
  <r>
    <x v="1447"/>
    <x v="6"/>
    <x v="9"/>
    <n v="61"/>
    <n v="305"/>
    <x v="53"/>
    <x v="8"/>
    <d v="2025-02-24T00:00:00"/>
    <x v="3"/>
    <x v="0"/>
    <x v="0"/>
    <x v="0"/>
    <x v="2"/>
    <x v="0"/>
    <x v="21"/>
  </r>
  <r>
    <x v="1448"/>
    <x v="8"/>
    <x v="5"/>
    <n v="15.1"/>
    <n v="166.1"/>
    <x v="54"/>
    <x v="8"/>
    <d v="2025-03-01T00:00:00"/>
    <x v="0"/>
    <x v="1"/>
    <x v="1"/>
    <x v="3"/>
    <x v="2"/>
    <x v="0"/>
    <x v="2"/>
  </r>
  <r>
    <x v="1449"/>
    <x v="1"/>
    <x v="3"/>
    <n v="71.3"/>
    <n v="499.09999999999997"/>
    <x v="54"/>
    <x v="8"/>
    <d v="2025-02-25T00:00:00"/>
    <x v="3"/>
    <x v="1"/>
    <x v="1"/>
    <x v="4"/>
    <x v="0"/>
    <x v="0"/>
    <x v="3"/>
  </r>
  <r>
    <x v="1450"/>
    <x v="10"/>
    <x v="0"/>
    <n v="25.8"/>
    <n v="25.8"/>
    <x v="54"/>
    <x v="8"/>
    <d v="2025-02-26T00:00:00"/>
    <x v="1"/>
    <x v="2"/>
    <x v="2"/>
    <x v="0"/>
    <x v="2"/>
    <x v="0"/>
    <x v="3"/>
  </r>
  <r>
    <x v="1451"/>
    <x v="8"/>
    <x v="9"/>
    <n v="39.6"/>
    <n v="198"/>
    <x v="54"/>
    <x v="8"/>
    <d v="2025-02-26T00:00:00"/>
    <x v="1"/>
    <x v="1"/>
    <x v="1"/>
    <x v="1"/>
    <x v="2"/>
    <x v="0"/>
    <x v="3"/>
  </r>
  <r>
    <x v="1452"/>
    <x v="5"/>
    <x v="1"/>
    <n v="64"/>
    <n v="128"/>
    <x v="54"/>
    <x v="8"/>
    <d v="2025-02-24T00:00:00"/>
    <x v="7"/>
    <x v="1"/>
    <x v="1"/>
    <x v="1"/>
    <x v="1"/>
    <x v="0"/>
    <x v="3"/>
  </r>
  <r>
    <x v="1453"/>
    <x v="8"/>
    <x v="1"/>
    <n v="30.6"/>
    <n v="61.2"/>
    <x v="54"/>
    <x v="8"/>
    <d v="2025-02-27T00:00:00"/>
    <x v="2"/>
    <x v="1"/>
    <x v="1"/>
    <x v="0"/>
    <x v="2"/>
    <x v="0"/>
    <x v="3"/>
  </r>
  <r>
    <x v="1454"/>
    <x v="8"/>
    <x v="1"/>
    <n v="21.3"/>
    <n v="42.6"/>
    <x v="54"/>
    <x v="8"/>
    <d v="2025-02-25T00:00:00"/>
    <x v="3"/>
    <x v="1"/>
    <x v="1"/>
    <x v="0"/>
    <x v="1"/>
    <x v="0"/>
    <x v="3"/>
  </r>
  <r>
    <x v="1455"/>
    <x v="7"/>
    <x v="0"/>
    <n v="40.799999999999997"/>
    <n v="40.799999999999997"/>
    <x v="54"/>
    <x v="8"/>
    <d v="2025-02-26T00:00:00"/>
    <x v="1"/>
    <x v="2"/>
    <x v="2"/>
    <x v="4"/>
    <x v="0"/>
    <x v="0"/>
    <x v="3"/>
  </r>
  <r>
    <x v="1456"/>
    <x v="9"/>
    <x v="12"/>
    <n v="27.7"/>
    <n v="110.8"/>
    <x v="54"/>
    <x v="8"/>
    <d v="2025-02-25T00:00:00"/>
    <x v="3"/>
    <x v="2"/>
    <x v="2"/>
    <x v="0"/>
    <x v="1"/>
    <x v="0"/>
    <x v="3"/>
  </r>
  <r>
    <x v="1457"/>
    <x v="6"/>
    <x v="1"/>
    <n v="64.599999999999994"/>
    <n v="129.19999999999999"/>
    <x v="54"/>
    <x v="8"/>
    <d v="2025-02-25T00:00:00"/>
    <x v="3"/>
    <x v="1"/>
    <x v="1"/>
    <x v="0"/>
    <x v="1"/>
    <x v="0"/>
    <x v="3"/>
  </r>
  <r>
    <x v="1458"/>
    <x v="6"/>
    <x v="27"/>
    <n v="91.1"/>
    <n v="1457.6"/>
    <x v="54"/>
    <x v="8"/>
    <d v="2025-02-25T00:00:00"/>
    <x v="3"/>
    <x v="2"/>
    <x v="2"/>
    <x v="1"/>
    <x v="2"/>
    <x v="0"/>
    <x v="3"/>
  </r>
  <r>
    <x v="1459"/>
    <x v="1"/>
    <x v="0"/>
    <n v="39.5"/>
    <n v="39.5"/>
    <x v="54"/>
    <x v="8"/>
    <d v="2025-03-04T00:00:00"/>
    <x v="9"/>
    <x v="2"/>
    <x v="2"/>
    <x v="0"/>
    <x v="0"/>
    <x v="0"/>
    <x v="3"/>
  </r>
  <r>
    <x v="1460"/>
    <x v="9"/>
    <x v="1"/>
    <n v="21.8"/>
    <n v="43.6"/>
    <x v="54"/>
    <x v="8"/>
    <d v="2025-02-28T00:00:00"/>
    <x v="5"/>
    <x v="1"/>
    <x v="1"/>
    <x v="4"/>
    <x v="2"/>
    <x v="0"/>
    <x v="3"/>
  </r>
  <r>
    <x v="1461"/>
    <x v="8"/>
    <x v="1"/>
    <n v="51"/>
    <n v="102"/>
    <x v="54"/>
    <x v="8"/>
    <d v="2025-02-27T00:00:00"/>
    <x v="2"/>
    <x v="1"/>
    <x v="1"/>
    <x v="3"/>
    <x v="2"/>
    <x v="0"/>
    <x v="3"/>
  </r>
  <r>
    <x v="1462"/>
    <x v="2"/>
    <x v="0"/>
    <n v="92.6"/>
    <n v="92.6"/>
    <x v="54"/>
    <x v="8"/>
    <d v="2025-02-27T00:00:00"/>
    <x v="2"/>
    <x v="2"/>
    <x v="2"/>
    <x v="0"/>
    <x v="2"/>
    <x v="0"/>
    <x v="35"/>
  </r>
  <r>
    <x v="1463"/>
    <x v="9"/>
    <x v="1"/>
    <n v="31.1"/>
    <n v="62.2"/>
    <x v="54"/>
    <x v="8"/>
    <d v="2025-03-01T00:00:00"/>
    <x v="0"/>
    <x v="0"/>
    <x v="0"/>
    <x v="1"/>
    <x v="3"/>
    <x v="0"/>
    <x v="23"/>
  </r>
  <r>
    <x v="1464"/>
    <x v="5"/>
    <x v="2"/>
    <n v="56.4"/>
    <n v="169.2"/>
    <x v="54"/>
    <x v="8"/>
    <d v="2025-02-25T00:00:00"/>
    <x v="3"/>
    <x v="0"/>
    <x v="0"/>
    <x v="1"/>
    <x v="0"/>
    <x v="0"/>
    <x v="6"/>
  </r>
  <r>
    <x v="1465"/>
    <x v="9"/>
    <x v="0"/>
    <n v="41.9"/>
    <n v="41.9"/>
    <x v="54"/>
    <x v="8"/>
    <d v="2025-02-24T00:00:00"/>
    <x v="7"/>
    <x v="1"/>
    <x v="1"/>
    <x v="1"/>
    <x v="0"/>
    <x v="0"/>
    <x v="6"/>
  </r>
  <r>
    <x v="1466"/>
    <x v="10"/>
    <x v="3"/>
    <n v="45.9"/>
    <n v="321.3"/>
    <x v="54"/>
    <x v="8"/>
    <d v="2025-02-25T00:00:00"/>
    <x v="3"/>
    <x v="1"/>
    <x v="1"/>
    <x v="3"/>
    <x v="2"/>
    <x v="0"/>
    <x v="8"/>
  </r>
  <r>
    <x v="1467"/>
    <x v="14"/>
    <x v="11"/>
    <n v="24.4"/>
    <n v="219.6"/>
    <x v="54"/>
    <x v="8"/>
    <d v="2025-02-28T00:00:00"/>
    <x v="5"/>
    <x v="1"/>
    <x v="1"/>
    <x v="3"/>
    <x v="2"/>
    <x v="0"/>
    <x v="8"/>
  </r>
  <r>
    <x v="1468"/>
    <x v="8"/>
    <x v="0"/>
    <n v="18.2"/>
    <n v="18.2"/>
    <x v="54"/>
    <x v="8"/>
    <d v="2025-02-25T00:00:00"/>
    <x v="3"/>
    <x v="2"/>
    <x v="2"/>
    <x v="2"/>
    <x v="2"/>
    <x v="0"/>
    <x v="8"/>
  </r>
  <r>
    <x v="1469"/>
    <x v="8"/>
    <x v="12"/>
    <n v="51.2"/>
    <n v="204.8"/>
    <x v="54"/>
    <x v="8"/>
    <d v="2025-02-25T00:00:00"/>
    <x v="3"/>
    <x v="2"/>
    <x v="2"/>
    <x v="0"/>
    <x v="0"/>
    <x v="0"/>
    <x v="8"/>
  </r>
  <r>
    <x v="1470"/>
    <x v="6"/>
    <x v="0"/>
    <n v="59.7"/>
    <n v="59.7"/>
    <x v="54"/>
    <x v="8"/>
    <d v="2025-02-27T00:00:00"/>
    <x v="2"/>
    <x v="1"/>
    <x v="1"/>
    <x v="0"/>
    <x v="2"/>
    <x v="0"/>
    <x v="8"/>
  </r>
  <r>
    <x v="1471"/>
    <x v="4"/>
    <x v="1"/>
    <n v="33.6"/>
    <n v="67.2"/>
    <x v="54"/>
    <x v="8"/>
    <d v="2025-02-26T00:00:00"/>
    <x v="1"/>
    <x v="2"/>
    <x v="2"/>
    <x v="0"/>
    <x v="0"/>
    <x v="0"/>
    <x v="17"/>
  </r>
  <r>
    <x v="1472"/>
    <x v="12"/>
    <x v="0"/>
    <n v="90.4"/>
    <n v="90.4"/>
    <x v="54"/>
    <x v="8"/>
    <d v="2025-02-28T00:00:00"/>
    <x v="5"/>
    <x v="1"/>
    <x v="1"/>
    <x v="1"/>
    <x v="2"/>
    <x v="0"/>
    <x v="10"/>
  </r>
  <r>
    <x v="1473"/>
    <x v="11"/>
    <x v="2"/>
    <n v="70.3"/>
    <n v="210.89999999999998"/>
    <x v="54"/>
    <x v="8"/>
    <d v="2025-02-24T00:00:00"/>
    <x v="7"/>
    <x v="1"/>
    <x v="1"/>
    <x v="1"/>
    <x v="2"/>
    <x v="0"/>
    <x v="11"/>
  </r>
  <r>
    <x v="1474"/>
    <x v="4"/>
    <x v="1"/>
    <n v="20.5"/>
    <n v="41"/>
    <x v="54"/>
    <x v="8"/>
    <d v="2025-02-27T00:00:00"/>
    <x v="2"/>
    <x v="2"/>
    <x v="2"/>
    <x v="0"/>
    <x v="1"/>
    <x v="0"/>
    <x v="11"/>
  </r>
  <r>
    <x v="1475"/>
    <x v="5"/>
    <x v="5"/>
    <n v="37.6"/>
    <n v="413.6"/>
    <x v="54"/>
    <x v="8"/>
    <d v="2025-02-25T00:00:00"/>
    <x v="3"/>
    <x v="1"/>
    <x v="1"/>
    <x v="0"/>
    <x v="0"/>
    <x v="0"/>
    <x v="38"/>
  </r>
  <r>
    <x v="1476"/>
    <x v="5"/>
    <x v="12"/>
    <n v="61.5"/>
    <n v="246"/>
    <x v="54"/>
    <x v="8"/>
    <d v="2025-03-03T00:00:00"/>
    <x v="6"/>
    <x v="2"/>
    <x v="2"/>
    <x v="1"/>
    <x v="4"/>
    <x v="0"/>
    <x v="13"/>
  </r>
  <r>
    <x v="1477"/>
    <x v="9"/>
    <x v="0"/>
    <n v="33.5"/>
    <n v="33.5"/>
    <x v="55"/>
    <x v="8"/>
    <d v="2025-03-01T00:00:00"/>
    <x v="5"/>
    <x v="1"/>
    <x v="1"/>
    <x v="4"/>
    <x v="1"/>
    <x v="0"/>
    <x v="21"/>
  </r>
  <r>
    <x v="1478"/>
    <x v="4"/>
    <x v="2"/>
    <n v="29.3"/>
    <n v="87.9"/>
    <x v="55"/>
    <x v="8"/>
    <d v="2025-02-27T00:00:00"/>
    <x v="1"/>
    <x v="2"/>
    <x v="2"/>
    <x v="1"/>
    <x v="2"/>
    <x v="0"/>
    <x v="1"/>
  </r>
  <r>
    <x v="1479"/>
    <x v="2"/>
    <x v="1"/>
    <n v="125.9"/>
    <n v="251.8"/>
    <x v="55"/>
    <x v="8"/>
    <d v="2025-03-02T00:00:00"/>
    <x v="0"/>
    <x v="2"/>
    <x v="2"/>
    <x v="4"/>
    <x v="1"/>
    <x v="0"/>
    <x v="1"/>
  </r>
  <r>
    <x v="1480"/>
    <x v="5"/>
    <x v="9"/>
    <n v="29.3"/>
    <n v="146.5"/>
    <x v="55"/>
    <x v="8"/>
    <d v="2025-02-25T00:00:00"/>
    <x v="7"/>
    <x v="1"/>
    <x v="1"/>
    <x v="2"/>
    <x v="0"/>
    <x v="0"/>
    <x v="44"/>
  </r>
  <r>
    <x v="1481"/>
    <x v="9"/>
    <x v="0"/>
    <n v="37.799999999999997"/>
    <n v="37.799999999999997"/>
    <x v="55"/>
    <x v="8"/>
    <d v="2025-02-28T00:00:00"/>
    <x v="2"/>
    <x v="2"/>
    <x v="2"/>
    <x v="0"/>
    <x v="2"/>
    <x v="0"/>
    <x v="3"/>
  </r>
  <r>
    <x v="1482"/>
    <x v="0"/>
    <x v="12"/>
    <n v="31.7"/>
    <n v="126.8"/>
    <x v="55"/>
    <x v="8"/>
    <d v="2025-02-26T00:00:00"/>
    <x v="3"/>
    <x v="1"/>
    <x v="1"/>
    <x v="2"/>
    <x v="2"/>
    <x v="0"/>
    <x v="3"/>
  </r>
  <r>
    <x v="1483"/>
    <x v="8"/>
    <x v="9"/>
    <n v="26.3"/>
    <n v="131.5"/>
    <x v="55"/>
    <x v="8"/>
    <d v="2025-02-26T00:00:00"/>
    <x v="3"/>
    <x v="2"/>
    <x v="2"/>
    <x v="3"/>
    <x v="2"/>
    <x v="0"/>
    <x v="3"/>
  </r>
  <r>
    <x v="1484"/>
    <x v="8"/>
    <x v="2"/>
    <n v="23.1"/>
    <n v="69.300000000000011"/>
    <x v="55"/>
    <x v="8"/>
    <d v="2025-02-26T00:00:00"/>
    <x v="3"/>
    <x v="3"/>
    <x v="3"/>
    <x v="2"/>
    <x v="1"/>
    <x v="0"/>
    <x v="3"/>
  </r>
  <r>
    <x v="1485"/>
    <x v="4"/>
    <x v="0"/>
    <n v="22.3"/>
    <n v="22.3"/>
    <x v="55"/>
    <x v="8"/>
    <d v="2025-02-27T00:00:00"/>
    <x v="1"/>
    <x v="2"/>
    <x v="2"/>
    <x v="2"/>
    <x v="0"/>
    <x v="0"/>
    <x v="3"/>
  </r>
  <r>
    <x v="1486"/>
    <x v="12"/>
    <x v="1"/>
    <n v="99.5"/>
    <n v="199"/>
    <x v="55"/>
    <x v="8"/>
    <d v="2025-02-27T00:00:00"/>
    <x v="1"/>
    <x v="2"/>
    <x v="2"/>
    <x v="2"/>
    <x v="0"/>
    <x v="0"/>
    <x v="3"/>
  </r>
  <r>
    <x v="1487"/>
    <x v="12"/>
    <x v="12"/>
    <n v="47.4"/>
    <n v="189.6"/>
    <x v="55"/>
    <x v="8"/>
    <d v="2025-02-28T00:00:00"/>
    <x v="2"/>
    <x v="2"/>
    <x v="2"/>
    <x v="1"/>
    <x v="0"/>
    <x v="0"/>
    <x v="3"/>
  </r>
  <r>
    <x v="1488"/>
    <x v="0"/>
    <x v="5"/>
    <n v="37.5"/>
    <n v="412.5"/>
    <x v="55"/>
    <x v="8"/>
    <d v="2025-02-27T00:00:00"/>
    <x v="1"/>
    <x v="2"/>
    <x v="2"/>
    <x v="0"/>
    <x v="3"/>
    <x v="0"/>
    <x v="3"/>
  </r>
  <r>
    <x v="1489"/>
    <x v="10"/>
    <x v="0"/>
    <n v="45.1"/>
    <n v="45.1"/>
    <x v="55"/>
    <x v="8"/>
    <d v="2025-03-02T00:00:00"/>
    <x v="0"/>
    <x v="1"/>
    <x v="1"/>
    <x v="3"/>
    <x v="2"/>
    <x v="0"/>
    <x v="24"/>
  </r>
  <r>
    <x v="1490"/>
    <x v="5"/>
    <x v="7"/>
    <n v="34.4"/>
    <n v="344"/>
    <x v="55"/>
    <x v="8"/>
    <d v="2025-02-28T00:00:00"/>
    <x v="2"/>
    <x v="1"/>
    <x v="1"/>
    <x v="2"/>
    <x v="0"/>
    <x v="0"/>
    <x v="16"/>
  </r>
  <r>
    <x v="1491"/>
    <x v="4"/>
    <x v="1"/>
    <n v="38"/>
    <n v="76"/>
    <x v="55"/>
    <x v="8"/>
    <d v="2025-02-27T00:00:00"/>
    <x v="1"/>
    <x v="2"/>
    <x v="2"/>
    <x v="1"/>
    <x v="0"/>
    <x v="0"/>
    <x v="5"/>
  </r>
  <r>
    <x v="1492"/>
    <x v="3"/>
    <x v="21"/>
    <n v="32.4"/>
    <n v="453.59999999999997"/>
    <x v="55"/>
    <x v="8"/>
    <d v="2025-02-28T00:00:00"/>
    <x v="2"/>
    <x v="1"/>
    <x v="1"/>
    <x v="4"/>
    <x v="0"/>
    <x v="0"/>
    <x v="6"/>
  </r>
  <r>
    <x v="1493"/>
    <x v="6"/>
    <x v="2"/>
    <n v="40.9"/>
    <n v="122.69999999999999"/>
    <x v="55"/>
    <x v="8"/>
    <d v="2025-02-25T00:00:00"/>
    <x v="7"/>
    <x v="0"/>
    <x v="0"/>
    <x v="1"/>
    <x v="0"/>
    <x v="0"/>
    <x v="8"/>
  </r>
  <r>
    <x v="1494"/>
    <x v="7"/>
    <x v="3"/>
    <n v="76.2"/>
    <n v="533.4"/>
    <x v="55"/>
    <x v="8"/>
    <d v="2025-02-27T00:00:00"/>
    <x v="1"/>
    <x v="2"/>
    <x v="2"/>
    <x v="2"/>
    <x v="1"/>
    <x v="0"/>
    <x v="8"/>
  </r>
  <r>
    <x v="1495"/>
    <x v="2"/>
    <x v="0"/>
    <n v="85.6"/>
    <n v="85.6"/>
    <x v="55"/>
    <x v="8"/>
    <d v="2025-02-27T00:00:00"/>
    <x v="1"/>
    <x v="1"/>
    <x v="1"/>
    <x v="2"/>
    <x v="0"/>
    <x v="0"/>
    <x v="8"/>
  </r>
  <r>
    <x v="1496"/>
    <x v="4"/>
    <x v="12"/>
    <n v="25"/>
    <n v="100"/>
    <x v="55"/>
    <x v="8"/>
    <d v="2025-02-27T00:00:00"/>
    <x v="1"/>
    <x v="2"/>
    <x v="2"/>
    <x v="2"/>
    <x v="2"/>
    <x v="0"/>
    <x v="8"/>
  </r>
  <r>
    <x v="1497"/>
    <x v="2"/>
    <x v="9"/>
    <n v="150.69999999999999"/>
    <n v="753.5"/>
    <x v="55"/>
    <x v="8"/>
    <d v="2025-02-26T00:00:00"/>
    <x v="3"/>
    <x v="0"/>
    <x v="0"/>
    <x v="0"/>
    <x v="2"/>
    <x v="0"/>
    <x v="8"/>
  </r>
  <r>
    <x v="1498"/>
    <x v="8"/>
    <x v="0"/>
    <n v="19.600000000000001"/>
    <n v="19.600000000000001"/>
    <x v="55"/>
    <x v="8"/>
    <d v="2025-02-26T00:00:00"/>
    <x v="3"/>
    <x v="1"/>
    <x v="1"/>
    <x v="1"/>
    <x v="4"/>
    <x v="0"/>
    <x v="8"/>
  </r>
  <r>
    <x v="1499"/>
    <x v="13"/>
    <x v="1"/>
    <n v="37.5"/>
    <n v="75"/>
    <x v="55"/>
    <x v="8"/>
    <d v="2025-02-28T00:00:00"/>
    <x v="2"/>
    <x v="2"/>
    <x v="2"/>
    <x v="1"/>
    <x v="2"/>
    <x v="0"/>
    <x v="17"/>
  </r>
  <r>
    <x v="1500"/>
    <x v="9"/>
    <x v="2"/>
    <n v="51.9"/>
    <n v="155.69999999999999"/>
    <x v="55"/>
    <x v="8"/>
    <d v="2025-03-03T00:00:00"/>
    <x v="4"/>
    <x v="2"/>
    <x v="2"/>
    <x v="0"/>
    <x v="4"/>
    <x v="0"/>
    <x v="11"/>
  </r>
  <r>
    <x v="1501"/>
    <x v="1"/>
    <x v="1"/>
    <n v="30.9"/>
    <n v="61.8"/>
    <x v="55"/>
    <x v="8"/>
    <d v="2025-02-27T00:00:00"/>
    <x v="1"/>
    <x v="2"/>
    <x v="2"/>
    <x v="1"/>
    <x v="0"/>
    <x v="0"/>
    <x v="18"/>
  </r>
  <r>
    <x v="1502"/>
    <x v="4"/>
    <x v="2"/>
    <n v="21.2"/>
    <n v="63.599999999999994"/>
    <x v="55"/>
    <x v="8"/>
    <d v="2025-02-28T00:00:00"/>
    <x v="2"/>
    <x v="2"/>
    <x v="2"/>
    <x v="1"/>
    <x v="0"/>
    <x v="0"/>
    <x v="19"/>
  </r>
  <r>
    <x v="1503"/>
    <x v="13"/>
    <x v="14"/>
    <n v="17.5"/>
    <n v="297.5"/>
    <x v="55"/>
    <x v="8"/>
    <d v="2025-02-26T00:00:00"/>
    <x v="3"/>
    <x v="1"/>
    <x v="1"/>
    <x v="1"/>
    <x v="1"/>
    <x v="0"/>
    <x v="13"/>
  </r>
  <r>
    <x v="1504"/>
    <x v="12"/>
    <x v="1"/>
    <n v="53.8"/>
    <n v="107.6"/>
    <x v="55"/>
    <x v="8"/>
    <d v="2025-03-02T00:00:00"/>
    <x v="0"/>
    <x v="2"/>
    <x v="2"/>
    <x v="0"/>
    <x v="2"/>
    <x v="0"/>
    <x v="21"/>
  </r>
  <r>
    <x v="1505"/>
    <x v="19"/>
    <x v="1"/>
    <n v="17"/>
    <n v="34"/>
    <x v="55"/>
    <x v="8"/>
    <d v="2025-02-26T00:00:00"/>
    <x v="3"/>
    <x v="1"/>
    <x v="1"/>
    <x v="3"/>
    <x v="0"/>
    <x v="0"/>
    <x v="21"/>
  </r>
  <r>
    <x v="1506"/>
    <x v="6"/>
    <x v="0"/>
    <n v="103.2"/>
    <n v="103.2"/>
    <x v="55"/>
    <x v="8"/>
    <d v="2025-03-05T00:00:00"/>
    <x v="9"/>
    <x v="1"/>
    <x v="1"/>
    <x v="2"/>
    <x v="1"/>
    <x v="0"/>
    <x v="1"/>
  </r>
  <r>
    <x v="1507"/>
    <x v="6"/>
    <x v="12"/>
    <n v="70.3"/>
    <n v="281.2"/>
    <x v="55"/>
    <x v="8"/>
    <d v="2025-02-26T00:00:00"/>
    <x v="3"/>
    <x v="1"/>
    <x v="1"/>
    <x v="0"/>
    <x v="0"/>
    <x v="0"/>
    <x v="3"/>
  </r>
  <r>
    <x v="1508"/>
    <x v="2"/>
    <x v="1"/>
    <n v="73.8"/>
    <n v="147.6"/>
    <x v="55"/>
    <x v="8"/>
    <d v="2025-02-25T00:00:00"/>
    <x v="7"/>
    <x v="1"/>
    <x v="1"/>
    <x v="3"/>
    <x v="2"/>
    <x v="0"/>
    <x v="3"/>
  </r>
  <r>
    <x v="1509"/>
    <x v="1"/>
    <x v="4"/>
    <n v="67.7"/>
    <n v="812.40000000000009"/>
    <x v="55"/>
    <x v="8"/>
    <d v="2025-03-01T00:00:00"/>
    <x v="5"/>
    <x v="1"/>
    <x v="1"/>
    <x v="1"/>
    <x v="1"/>
    <x v="0"/>
    <x v="3"/>
  </r>
  <r>
    <x v="1510"/>
    <x v="13"/>
    <x v="3"/>
    <n v="43.8"/>
    <n v="306.59999999999997"/>
    <x v="55"/>
    <x v="8"/>
    <d v="2025-02-27T00:00:00"/>
    <x v="1"/>
    <x v="1"/>
    <x v="1"/>
    <x v="1"/>
    <x v="0"/>
    <x v="0"/>
    <x v="3"/>
  </r>
  <r>
    <x v="1511"/>
    <x v="17"/>
    <x v="13"/>
    <n v="71.900000000000006"/>
    <n v="431.40000000000003"/>
    <x v="55"/>
    <x v="8"/>
    <d v="2025-02-26T00:00:00"/>
    <x v="3"/>
    <x v="2"/>
    <x v="2"/>
    <x v="2"/>
    <x v="0"/>
    <x v="0"/>
    <x v="3"/>
  </r>
  <r>
    <x v="1512"/>
    <x v="8"/>
    <x v="1"/>
    <n v="26.3"/>
    <n v="52.6"/>
    <x v="56"/>
    <x v="8"/>
    <d v="2025-02-28T00:00:00"/>
    <x v="1"/>
    <x v="2"/>
    <x v="2"/>
    <x v="0"/>
    <x v="1"/>
    <x v="0"/>
    <x v="3"/>
  </r>
  <r>
    <x v="1513"/>
    <x v="6"/>
    <x v="12"/>
    <n v="52.6"/>
    <n v="210.4"/>
    <x v="56"/>
    <x v="8"/>
    <d v="2025-02-28T00:00:00"/>
    <x v="1"/>
    <x v="2"/>
    <x v="2"/>
    <x v="2"/>
    <x v="1"/>
    <x v="0"/>
    <x v="3"/>
  </r>
  <r>
    <x v="1514"/>
    <x v="10"/>
    <x v="0"/>
    <n v="32.700000000000003"/>
    <n v="32.700000000000003"/>
    <x v="56"/>
    <x v="8"/>
    <d v="2025-03-05T00:00:00"/>
    <x v="6"/>
    <x v="2"/>
    <x v="2"/>
    <x v="0"/>
    <x v="2"/>
    <x v="0"/>
    <x v="3"/>
  </r>
  <r>
    <x v="1515"/>
    <x v="5"/>
    <x v="12"/>
    <n v="38.9"/>
    <n v="155.6"/>
    <x v="56"/>
    <x v="8"/>
    <d v="2025-02-27T00:00:00"/>
    <x v="3"/>
    <x v="2"/>
    <x v="2"/>
    <x v="0"/>
    <x v="0"/>
    <x v="0"/>
    <x v="3"/>
  </r>
  <r>
    <x v="1516"/>
    <x v="9"/>
    <x v="9"/>
    <n v="35"/>
    <n v="175"/>
    <x v="56"/>
    <x v="8"/>
    <d v="2025-02-28T00:00:00"/>
    <x v="1"/>
    <x v="1"/>
    <x v="1"/>
    <x v="0"/>
    <x v="0"/>
    <x v="0"/>
    <x v="3"/>
  </r>
  <r>
    <x v="1517"/>
    <x v="2"/>
    <x v="1"/>
    <n v="121"/>
    <n v="242"/>
    <x v="56"/>
    <x v="8"/>
    <d v="2025-02-27T00:00:00"/>
    <x v="3"/>
    <x v="2"/>
    <x v="2"/>
    <x v="1"/>
    <x v="1"/>
    <x v="0"/>
    <x v="3"/>
  </r>
  <r>
    <x v="1518"/>
    <x v="6"/>
    <x v="2"/>
    <n v="65.099999999999994"/>
    <n v="195.29999999999998"/>
    <x v="56"/>
    <x v="8"/>
    <d v="2025-03-02T00:00:00"/>
    <x v="5"/>
    <x v="1"/>
    <x v="1"/>
    <x v="2"/>
    <x v="0"/>
    <x v="0"/>
    <x v="36"/>
  </r>
  <r>
    <x v="1519"/>
    <x v="1"/>
    <x v="38"/>
    <n v="63.8"/>
    <n v="1339.8"/>
    <x v="56"/>
    <x v="8"/>
    <d v="2025-02-28T00:00:00"/>
    <x v="1"/>
    <x v="2"/>
    <x v="2"/>
    <x v="0"/>
    <x v="0"/>
    <x v="0"/>
    <x v="8"/>
  </r>
  <r>
    <x v="1520"/>
    <x v="7"/>
    <x v="0"/>
    <n v="77.7"/>
    <n v="77.7"/>
    <x v="56"/>
    <x v="8"/>
    <d v="2025-02-28T00:00:00"/>
    <x v="1"/>
    <x v="1"/>
    <x v="1"/>
    <x v="0"/>
    <x v="0"/>
    <x v="0"/>
    <x v="8"/>
  </r>
  <r>
    <x v="1521"/>
    <x v="5"/>
    <x v="12"/>
    <n v="60.3"/>
    <n v="241.2"/>
    <x v="56"/>
    <x v="8"/>
    <d v="2025-02-26T00:00:00"/>
    <x v="7"/>
    <x v="1"/>
    <x v="1"/>
    <x v="0"/>
    <x v="2"/>
    <x v="0"/>
    <x v="8"/>
  </r>
  <r>
    <x v="1522"/>
    <x v="5"/>
    <x v="1"/>
    <n v="124.1"/>
    <n v="248.2"/>
    <x v="56"/>
    <x v="8"/>
    <d v="2025-03-01T00:00:00"/>
    <x v="2"/>
    <x v="2"/>
    <x v="2"/>
    <x v="0"/>
    <x v="2"/>
    <x v="0"/>
    <x v="8"/>
  </r>
  <r>
    <x v="1523"/>
    <x v="16"/>
    <x v="3"/>
    <n v="66"/>
    <n v="462"/>
    <x v="56"/>
    <x v="8"/>
    <d v="2025-02-26T00:00:00"/>
    <x v="7"/>
    <x v="0"/>
    <x v="0"/>
    <x v="3"/>
    <x v="0"/>
    <x v="0"/>
    <x v="17"/>
  </r>
  <r>
    <x v="1524"/>
    <x v="2"/>
    <x v="42"/>
    <n v="118.2"/>
    <n v="7446.6"/>
    <x v="56"/>
    <x v="8"/>
    <d v="2025-03-03T00:00:00"/>
    <x v="0"/>
    <x v="0"/>
    <x v="0"/>
    <x v="0"/>
    <x v="0"/>
    <x v="0"/>
    <x v="17"/>
  </r>
  <r>
    <x v="1525"/>
    <x v="5"/>
    <x v="9"/>
    <n v="64.3"/>
    <n v="321.5"/>
    <x v="56"/>
    <x v="8"/>
    <d v="2025-02-27T00:00:00"/>
    <x v="3"/>
    <x v="1"/>
    <x v="1"/>
    <x v="4"/>
    <x v="4"/>
    <x v="0"/>
    <x v="26"/>
  </r>
  <r>
    <x v="1526"/>
    <x v="1"/>
    <x v="1"/>
    <n v="54.8"/>
    <n v="109.6"/>
    <x v="56"/>
    <x v="8"/>
    <d v="2025-02-26T00:00:00"/>
    <x v="7"/>
    <x v="1"/>
    <x v="1"/>
    <x v="0"/>
    <x v="1"/>
    <x v="0"/>
    <x v="26"/>
  </r>
  <r>
    <x v="1527"/>
    <x v="7"/>
    <x v="1"/>
    <n v="78.599999999999994"/>
    <n v="157.19999999999999"/>
    <x v="56"/>
    <x v="8"/>
    <d v="2025-02-27T00:00:00"/>
    <x v="3"/>
    <x v="1"/>
    <x v="1"/>
    <x v="0"/>
    <x v="2"/>
    <x v="0"/>
    <x v="9"/>
  </r>
  <r>
    <x v="1528"/>
    <x v="2"/>
    <x v="9"/>
    <n v="158.5"/>
    <n v="792.5"/>
    <x v="56"/>
    <x v="8"/>
    <d v="2025-02-28T00:00:00"/>
    <x v="1"/>
    <x v="0"/>
    <x v="0"/>
    <x v="2"/>
    <x v="2"/>
    <x v="0"/>
    <x v="9"/>
  </r>
  <r>
    <x v="1529"/>
    <x v="4"/>
    <x v="7"/>
    <n v="23.5"/>
    <n v="235"/>
    <x v="56"/>
    <x v="8"/>
    <d v="2025-03-01T00:00:00"/>
    <x v="2"/>
    <x v="1"/>
    <x v="1"/>
    <x v="0"/>
    <x v="4"/>
    <x v="0"/>
    <x v="10"/>
  </r>
  <r>
    <x v="1530"/>
    <x v="5"/>
    <x v="1"/>
    <n v="32.1"/>
    <n v="64.2"/>
    <x v="56"/>
    <x v="8"/>
    <d v="2025-02-28T00:00:00"/>
    <x v="1"/>
    <x v="0"/>
    <x v="0"/>
    <x v="3"/>
    <x v="0"/>
    <x v="0"/>
    <x v="10"/>
  </r>
  <r>
    <x v="1531"/>
    <x v="17"/>
    <x v="12"/>
    <n v="71.900000000000006"/>
    <n v="287.60000000000002"/>
    <x v="56"/>
    <x v="8"/>
    <d v="2025-02-26T00:00:00"/>
    <x v="7"/>
    <x v="1"/>
    <x v="1"/>
    <x v="2"/>
    <x v="0"/>
    <x v="0"/>
    <x v="19"/>
  </r>
  <r>
    <x v="1532"/>
    <x v="4"/>
    <x v="13"/>
    <n v="22.3"/>
    <n v="133.80000000000001"/>
    <x v="56"/>
    <x v="8"/>
    <d v="2025-02-27T00:00:00"/>
    <x v="3"/>
    <x v="0"/>
    <x v="0"/>
    <x v="3"/>
    <x v="2"/>
    <x v="0"/>
    <x v="13"/>
  </r>
  <r>
    <x v="1533"/>
    <x v="11"/>
    <x v="1"/>
    <n v="29.5"/>
    <n v="59"/>
    <x v="56"/>
    <x v="8"/>
    <d v="2025-02-27T00:00:00"/>
    <x v="3"/>
    <x v="2"/>
    <x v="2"/>
    <x v="0"/>
    <x v="2"/>
    <x v="0"/>
    <x v="13"/>
  </r>
  <r>
    <x v="1534"/>
    <x v="6"/>
    <x v="12"/>
    <n v="41.9"/>
    <n v="167.6"/>
    <x v="56"/>
    <x v="8"/>
    <d v="2025-03-02T00:00:00"/>
    <x v="5"/>
    <x v="2"/>
    <x v="2"/>
    <x v="0"/>
    <x v="1"/>
    <x v="0"/>
    <x v="21"/>
  </r>
  <r>
    <x v="1535"/>
    <x v="6"/>
    <x v="2"/>
    <n v="107.8"/>
    <n v="323.39999999999998"/>
    <x v="56"/>
    <x v="8"/>
    <d v="2025-02-27T00:00:00"/>
    <x v="3"/>
    <x v="1"/>
    <x v="1"/>
    <x v="1"/>
    <x v="2"/>
    <x v="0"/>
    <x v="46"/>
  </r>
  <r>
    <x v="1536"/>
    <x v="4"/>
    <x v="9"/>
    <n v="18.100000000000001"/>
    <n v="90.5"/>
    <x v="56"/>
    <x v="8"/>
    <d v="2025-03-01T00:00:00"/>
    <x v="2"/>
    <x v="1"/>
    <x v="1"/>
    <x v="0"/>
    <x v="2"/>
    <x v="0"/>
    <x v="2"/>
  </r>
  <r>
    <x v="1537"/>
    <x v="12"/>
    <x v="11"/>
    <n v="79.8"/>
    <n v="718.19999999999993"/>
    <x v="56"/>
    <x v="8"/>
    <d v="2025-02-27T00:00:00"/>
    <x v="3"/>
    <x v="2"/>
    <x v="2"/>
    <x v="1"/>
    <x v="1"/>
    <x v="0"/>
    <x v="22"/>
  </r>
  <r>
    <x v="1538"/>
    <x v="0"/>
    <x v="2"/>
    <n v="22.3"/>
    <n v="66.900000000000006"/>
    <x v="56"/>
    <x v="8"/>
    <d v="2025-03-01T00:00:00"/>
    <x v="2"/>
    <x v="2"/>
    <x v="2"/>
    <x v="0"/>
    <x v="2"/>
    <x v="0"/>
    <x v="22"/>
  </r>
  <r>
    <x v="1539"/>
    <x v="8"/>
    <x v="0"/>
    <n v="22.9"/>
    <n v="22.9"/>
    <x v="56"/>
    <x v="8"/>
    <d v="2025-02-26T00:00:00"/>
    <x v="7"/>
    <x v="2"/>
    <x v="2"/>
    <x v="1"/>
    <x v="0"/>
    <x v="0"/>
    <x v="22"/>
  </r>
  <r>
    <x v="1540"/>
    <x v="0"/>
    <x v="2"/>
    <n v="16.2"/>
    <n v="48.599999999999994"/>
    <x v="57"/>
    <x v="8"/>
    <d v="2025-02-27T00:00:00"/>
    <x v="7"/>
    <x v="1"/>
    <x v="1"/>
    <x v="4"/>
    <x v="2"/>
    <x v="0"/>
    <x v="3"/>
  </r>
  <r>
    <x v="1541"/>
    <x v="10"/>
    <x v="12"/>
    <n v="59.5"/>
    <n v="238"/>
    <x v="57"/>
    <x v="8"/>
    <d v="2025-02-28T00:00:00"/>
    <x v="3"/>
    <x v="1"/>
    <x v="1"/>
    <x v="1"/>
    <x v="2"/>
    <x v="0"/>
    <x v="3"/>
  </r>
  <r>
    <x v="1542"/>
    <x v="18"/>
    <x v="9"/>
    <n v="26.2"/>
    <n v="131"/>
    <x v="57"/>
    <x v="8"/>
    <d v="2025-03-02T00:00:00"/>
    <x v="2"/>
    <x v="1"/>
    <x v="1"/>
    <x v="3"/>
    <x v="4"/>
    <x v="0"/>
    <x v="3"/>
  </r>
  <r>
    <x v="1543"/>
    <x v="3"/>
    <x v="0"/>
    <n v="44.2"/>
    <n v="44.2"/>
    <x v="57"/>
    <x v="8"/>
    <d v="2025-03-02T00:00:00"/>
    <x v="2"/>
    <x v="2"/>
    <x v="2"/>
    <x v="1"/>
    <x v="0"/>
    <x v="0"/>
    <x v="3"/>
  </r>
  <r>
    <x v="1544"/>
    <x v="9"/>
    <x v="1"/>
    <n v="59.2"/>
    <n v="118.4"/>
    <x v="57"/>
    <x v="8"/>
    <d v="2025-02-27T00:00:00"/>
    <x v="7"/>
    <x v="2"/>
    <x v="2"/>
    <x v="1"/>
    <x v="4"/>
    <x v="0"/>
    <x v="3"/>
  </r>
  <r>
    <x v="1545"/>
    <x v="15"/>
    <x v="12"/>
    <n v="41.5"/>
    <n v="166"/>
    <x v="57"/>
    <x v="8"/>
    <d v="2025-03-01T00:00:00"/>
    <x v="1"/>
    <x v="2"/>
    <x v="2"/>
    <x v="0"/>
    <x v="0"/>
    <x v="0"/>
    <x v="16"/>
  </r>
  <r>
    <x v="1546"/>
    <x v="6"/>
    <x v="4"/>
    <n v="67.099999999999994"/>
    <n v="805.19999999999993"/>
    <x v="57"/>
    <x v="8"/>
    <d v="2025-03-13T00:00:00"/>
    <x v="12"/>
    <x v="2"/>
    <x v="2"/>
    <x v="0"/>
    <x v="2"/>
    <x v="0"/>
    <x v="23"/>
  </r>
  <r>
    <x v="1547"/>
    <x v="8"/>
    <x v="1"/>
    <n v="28.7"/>
    <n v="57.4"/>
    <x v="57"/>
    <x v="8"/>
    <d v="2025-03-03T00:00:00"/>
    <x v="5"/>
    <x v="2"/>
    <x v="2"/>
    <x v="1"/>
    <x v="0"/>
    <x v="0"/>
    <x v="6"/>
  </r>
  <r>
    <x v="1548"/>
    <x v="2"/>
    <x v="12"/>
    <n v="132.1"/>
    <n v="528.4"/>
    <x v="57"/>
    <x v="8"/>
    <d v="2025-02-28T00:00:00"/>
    <x v="3"/>
    <x v="2"/>
    <x v="2"/>
    <x v="0"/>
    <x v="1"/>
    <x v="0"/>
    <x v="6"/>
  </r>
  <r>
    <x v="1549"/>
    <x v="18"/>
    <x v="1"/>
    <n v="47"/>
    <n v="94"/>
    <x v="57"/>
    <x v="8"/>
    <d v="2025-03-01T00:00:00"/>
    <x v="1"/>
    <x v="1"/>
    <x v="1"/>
    <x v="4"/>
    <x v="0"/>
    <x v="0"/>
    <x v="8"/>
  </r>
  <r>
    <x v="1550"/>
    <x v="8"/>
    <x v="1"/>
    <n v="41.6"/>
    <n v="83.2"/>
    <x v="57"/>
    <x v="8"/>
    <d v="2025-03-03T00:00:00"/>
    <x v="5"/>
    <x v="1"/>
    <x v="1"/>
    <x v="1"/>
    <x v="2"/>
    <x v="0"/>
    <x v="8"/>
  </r>
  <r>
    <x v="1551"/>
    <x v="8"/>
    <x v="43"/>
    <n v="17.3"/>
    <n v="657.4"/>
    <x v="57"/>
    <x v="8"/>
    <d v="2025-03-01T00:00:00"/>
    <x v="1"/>
    <x v="1"/>
    <x v="1"/>
    <x v="2"/>
    <x v="2"/>
    <x v="0"/>
    <x v="8"/>
  </r>
  <r>
    <x v="1552"/>
    <x v="13"/>
    <x v="2"/>
    <n v="41.8"/>
    <n v="125.39999999999999"/>
    <x v="57"/>
    <x v="8"/>
    <d v="2025-03-02T00:00:00"/>
    <x v="2"/>
    <x v="1"/>
    <x v="1"/>
    <x v="0"/>
    <x v="2"/>
    <x v="0"/>
    <x v="8"/>
  </r>
  <r>
    <x v="1553"/>
    <x v="10"/>
    <x v="0"/>
    <n v="24"/>
    <n v="24"/>
    <x v="57"/>
    <x v="8"/>
    <d v="2025-02-28T00:00:00"/>
    <x v="3"/>
    <x v="2"/>
    <x v="2"/>
    <x v="0"/>
    <x v="0"/>
    <x v="0"/>
    <x v="17"/>
  </r>
  <r>
    <x v="1554"/>
    <x v="14"/>
    <x v="11"/>
    <n v="18.5"/>
    <n v="166.5"/>
    <x v="57"/>
    <x v="8"/>
    <d v="2025-03-01T00:00:00"/>
    <x v="1"/>
    <x v="2"/>
    <x v="2"/>
    <x v="0"/>
    <x v="0"/>
    <x v="0"/>
    <x v="9"/>
  </r>
  <r>
    <x v="1555"/>
    <x v="3"/>
    <x v="4"/>
    <n v="66.7"/>
    <n v="800.40000000000009"/>
    <x v="57"/>
    <x v="8"/>
    <d v="2025-03-02T00:00:00"/>
    <x v="2"/>
    <x v="0"/>
    <x v="0"/>
    <x v="0"/>
    <x v="2"/>
    <x v="0"/>
    <x v="11"/>
  </r>
  <r>
    <x v="1556"/>
    <x v="1"/>
    <x v="12"/>
    <n v="33.1"/>
    <n v="132.4"/>
    <x v="57"/>
    <x v="8"/>
    <d v="2025-03-04T00:00:00"/>
    <x v="0"/>
    <x v="1"/>
    <x v="1"/>
    <x v="3"/>
    <x v="0"/>
    <x v="0"/>
    <x v="11"/>
  </r>
  <r>
    <x v="1557"/>
    <x v="19"/>
    <x v="11"/>
    <n v="42.1"/>
    <n v="378.90000000000003"/>
    <x v="57"/>
    <x v="8"/>
    <d v="2025-03-10T00:00:00"/>
    <x v="11"/>
    <x v="1"/>
    <x v="1"/>
    <x v="1"/>
    <x v="0"/>
    <x v="0"/>
    <x v="18"/>
  </r>
  <r>
    <x v="1558"/>
    <x v="18"/>
    <x v="3"/>
    <n v="58.7"/>
    <n v="410.90000000000003"/>
    <x v="57"/>
    <x v="8"/>
    <d v="2025-02-27T00:00:00"/>
    <x v="7"/>
    <x v="3"/>
    <x v="3"/>
    <x v="3"/>
    <x v="0"/>
    <x v="0"/>
    <x v="31"/>
  </r>
  <r>
    <x v="1559"/>
    <x v="6"/>
    <x v="12"/>
    <n v="54"/>
    <n v="216"/>
    <x v="57"/>
    <x v="8"/>
    <d v="2025-03-01T00:00:00"/>
    <x v="1"/>
    <x v="2"/>
    <x v="2"/>
    <x v="1"/>
    <x v="0"/>
    <x v="0"/>
    <x v="1"/>
  </r>
  <r>
    <x v="1560"/>
    <x v="8"/>
    <x v="0"/>
    <n v="52.1"/>
    <n v="52.1"/>
    <x v="57"/>
    <x v="8"/>
    <d v="2025-02-28T00:00:00"/>
    <x v="3"/>
    <x v="2"/>
    <x v="2"/>
    <x v="2"/>
    <x v="2"/>
    <x v="0"/>
    <x v="2"/>
  </r>
  <r>
    <x v="1561"/>
    <x v="19"/>
    <x v="1"/>
    <n v="27"/>
    <n v="54"/>
    <x v="57"/>
    <x v="8"/>
    <d v="2025-03-02T00:00:00"/>
    <x v="2"/>
    <x v="3"/>
    <x v="3"/>
    <x v="2"/>
    <x v="0"/>
    <x v="0"/>
    <x v="22"/>
  </r>
  <r>
    <x v="1562"/>
    <x v="12"/>
    <x v="7"/>
    <n v="31"/>
    <n v="310"/>
    <x v="58"/>
    <x v="8"/>
    <d v="2025-03-01T00:00:00"/>
    <x v="3"/>
    <x v="2"/>
    <x v="2"/>
    <x v="3"/>
    <x v="2"/>
    <x v="0"/>
    <x v="22"/>
  </r>
  <r>
    <x v="1563"/>
    <x v="10"/>
    <x v="1"/>
    <n v="46.7"/>
    <n v="93.4"/>
    <x v="58"/>
    <x v="8"/>
    <d v="2025-02-28T00:00:00"/>
    <x v="7"/>
    <x v="2"/>
    <x v="2"/>
    <x v="0"/>
    <x v="0"/>
    <x v="0"/>
    <x v="34"/>
  </r>
  <r>
    <x v="1564"/>
    <x v="6"/>
    <x v="0"/>
    <n v="144.69999999999999"/>
    <n v="144.69999999999999"/>
    <x v="58"/>
    <x v="8"/>
    <d v="2025-03-03T00:00:00"/>
    <x v="2"/>
    <x v="1"/>
    <x v="1"/>
    <x v="0"/>
    <x v="2"/>
    <x v="0"/>
    <x v="3"/>
  </r>
  <r>
    <x v="1565"/>
    <x v="2"/>
    <x v="11"/>
    <n v="90.9"/>
    <n v="818.1"/>
    <x v="58"/>
    <x v="8"/>
    <d v="2025-03-01T00:00:00"/>
    <x v="3"/>
    <x v="1"/>
    <x v="1"/>
    <x v="0"/>
    <x v="2"/>
    <x v="0"/>
    <x v="3"/>
  </r>
  <r>
    <x v="1566"/>
    <x v="1"/>
    <x v="1"/>
    <n v="75.8"/>
    <n v="151.6"/>
    <x v="58"/>
    <x v="8"/>
    <d v="2025-03-01T00:00:00"/>
    <x v="3"/>
    <x v="2"/>
    <x v="2"/>
    <x v="2"/>
    <x v="1"/>
    <x v="0"/>
    <x v="3"/>
  </r>
  <r>
    <x v="1567"/>
    <x v="7"/>
    <x v="9"/>
    <n v="57.9"/>
    <n v="289.5"/>
    <x v="58"/>
    <x v="8"/>
    <d v="2025-03-02T00:00:00"/>
    <x v="1"/>
    <x v="1"/>
    <x v="1"/>
    <x v="2"/>
    <x v="2"/>
    <x v="0"/>
    <x v="3"/>
  </r>
  <r>
    <x v="1568"/>
    <x v="8"/>
    <x v="9"/>
    <n v="44.8"/>
    <n v="224"/>
    <x v="58"/>
    <x v="8"/>
    <d v="2025-03-01T00:00:00"/>
    <x v="3"/>
    <x v="2"/>
    <x v="2"/>
    <x v="3"/>
    <x v="2"/>
    <x v="0"/>
    <x v="3"/>
  </r>
  <r>
    <x v="1569"/>
    <x v="9"/>
    <x v="2"/>
    <n v="44.2"/>
    <n v="132.60000000000002"/>
    <x v="58"/>
    <x v="8"/>
    <d v="2025-03-04T00:00:00"/>
    <x v="5"/>
    <x v="1"/>
    <x v="1"/>
    <x v="2"/>
    <x v="2"/>
    <x v="0"/>
    <x v="3"/>
  </r>
  <r>
    <x v="1570"/>
    <x v="5"/>
    <x v="9"/>
    <n v="53.5"/>
    <n v="267.5"/>
    <x v="58"/>
    <x v="8"/>
    <d v="2025-03-02T00:00:00"/>
    <x v="1"/>
    <x v="1"/>
    <x v="1"/>
    <x v="0"/>
    <x v="0"/>
    <x v="0"/>
    <x v="37"/>
  </r>
  <r>
    <x v="1571"/>
    <x v="6"/>
    <x v="1"/>
    <n v="72.2"/>
    <n v="144.4"/>
    <x v="58"/>
    <x v="8"/>
    <d v="2025-03-01T00:00:00"/>
    <x v="3"/>
    <x v="1"/>
    <x v="1"/>
    <x v="0"/>
    <x v="2"/>
    <x v="0"/>
    <x v="25"/>
  </r>
  <r>
    <x v="1572"/>
    <x v="6"/>
    <x v="12"/>
    <n v="62.4"/>
    <n v="249.6"/>
    <x v="58"/>
    <x v="8"/>
    <d v="2025-03-03T00:00:00"/>
    <x v="2"/>
    <x v="2"/>
    <x v="2"/>
    <x v="0"/>
    <x v="1"/>
    <x v="0"/>
    <x v="23"/>
  </r>
  <r>
    <x v="1573"/>
    <x v="10"/>
    <x v="9"/>
    <n v="24.7"/>
    <n v="123.5"/>
    <x v="58"/>
    <x v="8"/>
    <d v="2025-03-01T00:00:00"/>
    <x v="3"/>
    <x v="2"/>
    <x v="2"/>
    <x v="0"/>
    <x v="0"/>
    <x v="0"/>
    <x v="6"/>
  </r>
  <r>
    <x v="1574"/>
    <x v="1"/>
    <x v="9"/>
    <n v="61.7"/>
    <n v="308.5"/>
    <x v="58"/>
    <x v="8"/>
    <d v="2025-03-02T00:00:00"/>
    <x v="1"/>
    <x v="2"/>
    <x v="2"/>
    <x v="2"/>
    <x v="0"/>
    <x v="0"/>
    <x v="8"/>
  </r>
  <r>
    <x v="1575"/>
    <x v="8"/>
    <x v="9"/>
    <n v="18.2"/>
    <n v="91"/>
    <x v="58"/>
    <x v="8"/>
    <d v="2025-03-02T00:00:00"/>
    <x v="1"/>
    <x v="2"/>
    <x v="2"/>
    <x v="3"/>
    <x v="0"/>
    <x v="0"/>
    <x v="8"/>
  </r>
  <r>
    <x v="1576"/>
    <x v="10"/>
    <x v="12"/>
    <n v="37.200000000000003"/>
    <n v="148.80000000000001"/>
    <x v="58"/>
    <x v="8"/>
    <d v="2025-03-06T00:00:00"/>
    <x v="4"/>
    <x v="2"/>
    <x v="2"/>
    <x v="0"/>
    <x v="0"/>
    <x v="0"/>
    <x v="8"/>
  </r>
  <r>
    <x v="1577"/>
    <x v="9"/>
    <x v="2"/>
    <n v="53.5"/>
    <n v="160.5"/>
    <x v="58"/>
    <x v="8"/>
    <d v="2025-03-02T00:00:00"/>
    <x v="1"/>
    <x v="2"/>
    <x v="2"/>
    <x v="1"/>
    <x v="2"/>
    <x v="0"/>
    <x v="9"/>
  </r>
  <r>
    <x v="1578"/>
    <x v="8"/>
    <x v="2"/>
    <n v="43.6"/>
    <n v="130.80000000000001"/>
    <x v="58"/>
    <x v="8"/>
    <d v="2025-02-28T00:00:00"/>
    <x v="7"/>
    <x v="2"/>
    <x v="2"/>
    <x v="0"/>
    <x v="0"/>
    <x v="0"/>
    <x v="9"/>
  </r>
  <r>
    <x v="1579"/>
    <x v="1"/>
    <x v="7"/>
    <n v="135"/>
    <n v="1350"/>
    <x v="58"/>
    <x v="8"/>
    <d v="2025-03-02T00:00:00"/>
    <x v="1"/>
    <x v="2"/>
    <x v="2"/>
    <x v="0"/>
    <x v="2"/>
    <x v="0"/>
    <x v="9"/>
  </r>
  <r>
    <x v="1580"/>
    <x v="8"/>
    <x v="9"/>
    <n v="38.5"/>
    <n v="192.5"/>
    <x v="58"/>
    <x v="8"/>
    <d v="2025-02-28T00:00:00"/>
    <x v="7"/>
    <x v="1"/>
    <x v="1"/>
    <x v="4"/>
    <x v="2"/>
    <x v="0"/>
    <x v="10"/>
  </r>
  <r>
    <x v="1581"/>
    <x v="9"/>
    <x v="1"/>
    <n v="24"/>
    <n v="48"/>
    <x v="58"/>
    <x v="8"/>
    <d v="2025-03-05T00:00:00"/>
    <x v="0"/>
    <x v="2"/>
    <x v="2"/>
    <x v="0"/>
    <x v="0"/>
    <x v="0"/>
    <x v="11"/>
  </r>
  <r>
    <x v="1582"/>
    <x v="4"/>
    <x v="2"/>
    <n v="28.2"/>
    <n v="84.6"/>
    <x v="58"/>
    <x v="8"/>
    <d v="2025-03-02T00:00:00"/>
    <x v="1"/>
    <x v="1"/>
    <x v="1"/>
    <x v="0"/>
    <x v="3"/>
    <x v="0"/>
    <x v="18"/>
  </r>
  <r>
    <x v="1583"/>
    <x v="7"/>
    <x v="2"/>
    <n v="37.4"/>
    <n v="112.19999999999999"/>
    <x v="58"/>
    <x v="8"/>
    <d v="2025-03-01T00:00:00"/>
    <x v="3"/>
    <x v="2"/>
    <x v="2"/>
    <x v="3"/>
    <x v="0"/>
    <x v="0"/>
    <x v="1"/>
  </r>
  <r>
    <x v="1584"/>
    <x v="6"/>
    <x v="2"/>
    <n v="53.5"/>
    <n v="160.5"/>
    <x v="58"/>
    <x v="8"/>
    <d v="2025-03-03T00:00:00"/>
    <x v="2"/>
    <x v="0"/>
    <x v="0"/>
    <x v="4"/>
    <x v="4"/>
    <x v="0"/>
    <x v="1"/>
  </r>
  <r>
    <x v="1585"/>
    <x v="11"/>
    <x v="9"/>
    <n v="36.200000000000003"/>
    <n v="181"/>
    <x v="58"/>
    <x v="8"/>
    <d v="2025-03-01T00:00:00"/>
    <x v="3"/>
    <x v="1"/>
    <x v="1"/>
    <x v="1"/>
    <x v="2"/>
    <x v="0"/>
    <x v="33"/>
  </r>
  <r>
    <x v="1586"/>
    <x v="0"/>
    <x v="8"/>
    <n v="31.9"/>
    <n v="255.2"/>
    <x v="58"/>
    <x v="8"/>
    <d v="2025-03-01T00:00:00"/>
    <x v="3"/>
    <x v="2"/>
    <x v="2"/>
    <x v="4"/>
    <x v="0"/>
    <x v="0"/>
    <x v="3"/>
  </r>
  <r>
    <x v="1587"/>
    <x v="8"/>
    <x v="2"/>
    <n v="21.3"/>
    <n v="63.900000000000006"/>
    <x v="58"/>
    <x v="8"/>
    <d v="2025-03-01T00:00:00"/>
    <x v="3"/>
    <x v="1"/>
    <x v="1"/>
    <x v="0"/>
    <x v="2"/>
    <x v="0"/>
    <x v="3"/>
  </r>
  <r>
    <x v="1588"/>
    <x v="8"/>
    <x v="0"/>
    <n v="36.299999999999997"/>
    <n v="36.299999999999997"/>
    <x v="58"/>
    <x v="8"/>
    <d v="2025-03-02T00:00:00"/>
    <x v="1"/>
    <x v="3"/>
    <x v="3"/>
    <x v="4"/>
    <x v="0"/>
    <x v="0"/>
    <x v="3"/>
  </r>
  <r>
    <x v="1589"/>
    <x v="6"/>
    <x v="2"/>
    <n v="110.5"/>
    <n v="331.5"/>
    <x v="58"/>
    <x v="8"/>
    <d v="2025-03-01T00:00:00"/>
    <x v="3"/>
    <x v="2"/>
    <x v="2"/>
    <x v="0"/>
    <x v="3"/>
    <x v="0"/>
    <x v="3"/>
  </r>
  <r>
    <x v="1590"/>
    <x v="10"/>
    <x v="3"/>
    <n v="32.6"/>
    <n v="228.20000000000002"/>
    <x v="58"/>
    <x v="8"/>
    <d v="2025-03-02T00:00:00"/>
    <x v="1"/>
    <x v="2"/>
    <x v="2"/>
    <x v="0"/>
    <x v="1"/>
    <x v="0"/>
    <x v="3"/>
  </r>
  <r>
    <x v="1591"/>
    <x v="5"/>
    <x v="2"/>
    <n v="55.6"/>
    <n v="166.8"/>
    <x v="59"/>
    <x v="8"/>
    <d v="2025-03-14T00:00:00"/>
    <x v="10"/>
    <x v="2"/>
    <x v="2"/>
    <x v="0"/>
    <x v="0"/>
    <x v="0"/>
    <x v="3"/>
  </r>
  <r>
    <x v="1592"/>
    <x v="1"/>
    <x v="12"/>
    <n v="38"/>
    <n v="152"/>
    <x v="59"/>
    <x v="8"/>
    <d v="2025-03-02T00:00:00"/>
    <x v="3"/>
    <x v="2"/>
    <x v="2"/>
    <x v="3"/>
    <x v="2"/>
    <x v="0"/>
    <x v="5"/>
  </r>
  <r>
    <x v="1593"/>
    <x v="10"/>
    <x v="1"/>
    <n v="51.8"/>
    <n v="103.6"/>
    <x v="59"/>
    <x v="8"/>
    <d v="2025-03-07T00:00:00"/>
    <x v="4"/>
    <x v="1"/>
    <x v="1"/>
    <x v="1"/>
    <x v="4"/>
    <x v="0"/>
    <x v="6"/>
  </r>
  <r>
    <x v="1594"/>
    <x v="11"/>
    <x v="8"/>
    <n v="28.7"/>
    <n v="229.6"/>
    <x v="59"/>
    <x v="8"/>
    <d v="2025-03-06T00:00:00"/>
    <x v="0"/>
    <x v="2"/>
    <x v="2"/>
    <x v="0"/>
    <x v="0"/>
    <x v="0"/>
    <x v="6"/>
  </r>
  <r>
    <x v="1595"/>
    <x v="6"/>
    <x v="4"/>
    <n v="52.2"/>
    <n v="626.40000000000009"/>
    <x v="59"/>
    <x v="8"/>
    <d v="2025-03-01T00:00:00"/>
    <x v="7"/>
    <x v="1"/>
    <x v="1"/>
    <x v="0"/>
    <x v="1"/>
    <x v="0"/>
    <x v="6"/>
  </r>
  <r>
    <x v="1596"/>
    <x v="1"/>
    <x v="1"/>
    <n v="68.2"/>
    <n v="136.4"/>
    <x v="59"/>
    <x v="8"/>
    <d v="2025-03-02T00:00:00"/>
    <x v="3"/>
    <x v="0"/>
    <x v="0"/>
    <x v="2"/>
    <x v="0"/>
    <x v="0"/>
    <x v="7"/>
  </r>
  <r>
    <x v="1597"/>
    <x v="0"/>
    <x v="2"/>
    <n v="34"/>
    <n v="102"/>
    <x v="59"/>
    <x v="8"/>
    <d v="2025-03-05T00:00:00"/>
    <x v="5"/>
    <x v="2"/>
    <x v="2"/>
    <x v="0"/>
    <x v="0"/>
    <x v="0"/>
    <x v="8"/>
  </r>
  <r>
    <x v="1598"/>
    <x v="8"/>
    <x v="2"/>
    <n v="19.100000000000001"/>
    <n v="57.300000000000004"/>
    <x v="59"/>
    <x v="8"/>
    <d v="2025-03-02T00:00:00"/>
    <x v="3"/>
    <x v="2"/>
    <x v="2"/>
    <x v="4"/>
    <x v="0"/>
    <x v="0"/>
    <x v="8"/>
  </r>
  <r>
    <x v="1599"/>
    <x v="5"/>
    <x v="8"/>
    <n v="34"/>
    <n v="272"/>
    <x v="59"/>
    <x v="8"/>
    <d v="2025-03-09T00:00:00"/>
    <x v="9"/>
    <x v="2"/>
    <x v="2"/>
    <x v="4"/>
    <x v="0"/>
    <x v="0"/>
    <x v="8"/>
  </r>
  <r>
    <x v="1600"/>
    <x v="12"/>
    <x v="1"/>
    <n v="109.1"/>
    <n v="218.2"/>
    <x v="59"/>
    <x v="8"/>
    <d v="2025-03-03T00:00:00"/>
    <x v="1"/>
    <x v="1"/>
    <x v="1"/>
    <x v="0"/>
    <x v="2"/>
    <x v="0"/>
    <x v="8"/>
  </r>
  <r>
    <x v="1601"/>
    <x v="18"/>
    <x v="1"/>
    <n v="64.8"/>
    <n v="129.6"/>
    <x v="59"/>
    <x v="8"/>
    <d v="2025-03-03T00:00:00"/>
    <x v="1"/>
    <x v="1"/>
    <x v="1"/>
    <x v="0"/>
    <x v="2"/>
    <x v="0"/>
    <x v="8"/>
  </r>
  <r>
    <x v="1602"/>
    <x v="10"/>
    <x v="1"/>
    <n v="21.1"/>
    <n v="42.2"/>
    <x v="59"/>
    <x v="8"/>
    <d v="2025-03-01T00:00:00"/>
    <x v="7"/>
    <x v="2"/>
    <x v="2"/>
    <x v="1"/>
    <x v="0"/>
    <x v="0"/>
    <x v="11"/>
  </r>
  <r>
    <x v="1603"/>
    <x v="0"/>
    <x v="8"/>
    <n v="21.3"/>
    <n v="170.4"/>
    <x v="59"/>
    <x v="8"/>
    <d v="2025-03-03T00:00:00"/>
    <x v="1"/>
    <x v="1"/>
    <x v="1"/>
    <x v="3"/>
    <x v="1"/>
    <x v="0"/>
    <x v="18"/>
  </r>
  <r>
    <x v="1604"/>
    <x v="9"/>
    <x v="2"/>
    <n v="24.3"/>
    <n v="72.900000000000006"/>
    <x v="59"/>
    <x v="8"/>
    <d v="2025-03-02T00:00:00"/>
    <x v="3"/>
    <x v="1"/>
    <x v="1"/>
    <x v="1"/>
    <x v="0"/>
    <x v="0"/>
    <x v="19"/>
  </r>
  <r>
    <x v="1605"/>
    <x v="8"/>
    <x v="0"/>
    <n v="43.3"/>
    <n v="43.3"/>
    <x v="59"/>
    <x v="8"/>
    <d v="2025-03-05T00:00:00"/>
    <x v="5"/>
    <x v="1"/>
    <x v="1"/>
    <x v="1"/>
    <x v="1"/>
    <x v="0"/>
    <x v="13"/>
  </r>
  <r>
    <x v="1606"/>
    <x v="9"/>
    <x v="2"/>
    <n v="41"/>
    <n v="123"/>
    <x v="59"/>
    <x v="8"/>
    <d v="2025-03-02T00:00:00"/>
    <x v="3"/>
    <x v="2"/>
    <x v="2"/>
    <x v="3"/>
    <x v="4"/>
    <x v="0"/>
    <x v="21"/>
  </r>
  <r>
    <x v="1607"/>
    <x v="16"/>
    <x v="2"/>
    <n v="54.1"/>
    <n v="162.30000000000001"/>
    <x v="59"/>
    <x v="8"/>
    <d v="2025-03-03T00:00:00"/>
    <x v="1"/>
    <x v="2"/>
    <x v="2"/>
    <x v="4"/>
    <x v="0"/>
    <x v="0"/>
    <x v="21"/>
  </r>
  <r>
    <x v="1608"/>
    <x v="11"/>
    <x v="1"/>
    <n v="39"/>
    <n v="78"/>
    <x v="59"/>
    <x v="8"/>
    <d v="2025-03-02T00:00:00"/>
    <x v="3"/>
    <x v="1"/>
    <x v="1"/>
    <x v="1"/>
    <x v="2"/>
    <x v="0"/>
    <x v="1"/>
  </r>
  <r>
    <x v="1609"/>
    <x v="8"/>
    <x v="1"/>
    <n v="40.299999999999997"/>
    <n v="80.599999999999994"/>
    <x v="59"/>
    <x v="8"/>
    <d v="2025-03-03T00:00:00"/>
    <x v="1"/>
    <x v="1"/>
    <x v="1"/>
    <x v="3"/>
    <x v="0"/>
    <x v="0"/>
    <x v="27"/>
  </r>
  <r>
    <x v="1610"/>
    <x v="8"/>
    <x v="2"/>
    <n v="24.1"/>
    <n v="72.300000000000011"/>
    <x v="59"/>
    <x v="8"/>
    <d v="2025-03-02T00:00:00"/>
    <x v="3"/>
    <x v="1"/>
    <x v="1"/>
    <x v="0"/>
    <x v="2"/>
    <x v="0"/>
    <x v="34"/>
  </r>
  <r>
    <x v="1611"/>
    <x v="6"/>
    <x v="9"/>
    <n v="52.3"/>
    <n v="261.5"/>
    <x v="59"/>
    <x v="8"/>
    <d v="2025-03-02T00:00:00"/>
    <x v="3"/>
    <x v="1"/>
    <x v="1"/>
    <x v="2"/>
    <x v="0"/>
    <x v="0"/>
    <x v="3"/>
  </r>
  <r>
    <x v="1612"/>
    <x v="12"/>
    <x v="12"/>
    <n v="68.8"/>
    <n v="275.2"/>
    <x v="59"/>
    <x v="8"/>
    <d v="2025-03-05T00:00:00"/>
    <x v="5"/>
    <x v="2"/>
    <x v="2"/>
    <x v="4"/>
    <x v="2"/>
    <x v="0"/>
    <x v="3"/>
  </r>
  <r>
    <x v="1613"/>
    <x v="2"/>
    <x v="1"/>
    <n v="128.80000000000001"/>
    <n v="257.60000000000002"/>
    <x v="60"/>
    <x v="9"/>
    <d v="2025-03-05T00:00:00"/>
    <x v="2"/>
    <x v="2"/>
    <x v="2"/>
    <x v="1"/>
    <x v="1"/>
    <x v="0"/>
    <x v="3"/>
  </r>
  <r>
    <x v="1614"/>
    <x v="15"/>
    <x v="9"/>
    <n v="48.2"/>
    <n v="241"/>
    <x v="60"/>
    <x v="9"/>
    <d v="2025-03-04T00:00:00"/>
    <x v="1"/>
    <x v="2"/>
    <x v="2"/>
    <x v="3"/>
    <x v="0"/>
    <x v="0"/>
    <x v="3"/>
  </r>
  <r>
    <x v="1615"/>
    <x v="10"/>
    <x v="0"/>
    <n v="39.700000000000003"/>
    <n v="39.700000000000003"/>
    <x v="60"/>
    <x v="9"/>
    <d v="2025-03-04T00:00:00"/>
    <x v="1"/>
    <x v="2"/>
    <x v="2"/>
    <x v="0"/>
    <x v="1"/>
    <x v="0"/>
    <x v="3"/>
  </r>
  <r>
    <x v="1616"/>
    <x v="9"/>
    <x v="0"/>
    <n v="59.7"/>
    <n v="59.7"/>
    <x v="60"/>
    <x v="9"/>
    <d v="2025-03-05T00:00:00"/>
    <x v="2"/>
    <x v="2"/>
    <x v="2"/>
    <x v="4"/>
    <x v="0"/>
    <x v="0"/>
    <x v="3"/>
  </r>
  <r>
    <x v="1617"/>
    <x v="6"/>
    <x v="0"/>
    <n v="48.3"/>
    <n v="48.3"/>
    <x v="60"/>
    <x v="9"/>
    <d v="2025-03-16T00:00:00"/>
    <x v="12"/>
    <x v="3"/>
    <x v="3"/>
    <x v="0"/>
    <x v="2"/>
    <x v="0"/>
    <x v="3"/>
  </r>
  <r>
    <x v="1618"/>
    <x v="8"/>
    <x v="2"/>
    <n v="45.5"/>
    <n v="136.5"/>
    <x v="60"/>
    <x v="9"/>
    <d v="2025-03-04T00:00:00"/>
    <x v="1"/>
    <x v="1"/>
    <x v="1"/>
    <x v="2"/>
    <x v="1"/>
    <x v="0"/>
    <x v="3"/>
  </r>
  <r>
    <x v="1619"/>
    <x v="9"/>
    <x v="6"/>
    <n v="51"/>
    <n v="1377"/>
    <x v="60"/>
    <x v="9"/>
    <d v="2025-03-02T00:00:00"/>
    <x v="7"/>
    <x v="2"/>
    <x v="2"/>
    <x v="2"/>
    <x v="0"/>
    <x v="0"/>
    <x v="3"/>
  </r>
  <r>
    <x v="1620"/>
    <x v="4"/>
    <x v="13"/>
    <n v="20.399999999999999"/>
    <n v="122.39999999999999"/>
    <x v="60"/>
    <x v="9"/>
    <d v="2025-03-03T00:00:00"/>
    <x v="3"/>
    <x v="1"/>
    <x v="1"/>
    <x v="2"/>
    <x v="0"/>
    <x v="0"/>
    <x v="3"/>
  </r>
  <r>
    <x v="1621"/>
    <x v="10"/>
    <x v="1"/>
    <n v="30.4"/>
    <n v="60.8"/>
    <x v="60"/>
    <x v="9"/>
    <d v="2025-03-04T00:00:00"/>
    <x v="1"/>
    <x v="1"/>
    <x v="1"/>
    <x v="2"/>
    <x v="0"/>
    <x v="0"/>
    <x v="3"/>
  </r>
  <r>
    <x v="1622"/>
    <x v="7"/>
    <x v="1"/>
    <n v="71.5"/>
    <n v="143"/>
    <x v="60"/>
    <x v="9"/>
    <d v="2025-03-06T00:00:00"/>
    <x v="5"/>
    <x v="2"/>
    <x v="2"/>
    <x v="0"/>
    <x v="0"/>
    <x v="0"/>
    <x v="3"/>
  </r>
  <r>
    <x v="1623"/>
    <x v="8"/>
    <x v="13"/>
    <n v="18"/>
    <n v="108"/>
    <x v="60"/>
    <x v="9"/>
    <d v="2025-03-03T00:00:00"/>
    <x v="3"/>
    <x v="3"/>
    <x v="3"/>
    <x v="1"/>
    <x v="2"/>
    <x v="0"/>
    <x v="6"/>
  </r>
  <r>
    <x v="1624"/>
    <x v="15"/>
    <x v="5"/>
    <n v="45.6"/>
    <n v="501.6"/>
    <x v="60"/>
    <x v="9"/>
    <d v="2025-03-03T00:00:00"/>
    <x v="3"/>
    <x v="3"/>
    <x v="3"/>
    <x v="1"/>
    <x v="1"/>
    <x v="0"/>
    <x v="7"/>
  </r>
  <r>
    <x v="1625"/>
    <x v="9"/>
    <x v="0"/>
    <n v="31.8"/>
    <n v="31.8"/>
    <x v="60"/>
    <x v="9"/>
    <d v="2025-03-06T00:00:00"/>
    <x v="5"/>
    <x v="2"/>
    <x v="2"/>
    <x v="0"/>
    <x v="2"/>
    <x v="0"/>
    <x v="7"/>
  </r>
  <r>
    <x v="1626"/>
    <x v="8"/>
    <x v="9"/>
    <n v="19.899999999999999"/>
    <n v="99.5"/>
    <x v="60"/>
    <x v="9"/>
    <d v="2025-03-03T00:00:00"/>
    <x v="3"/>
    <x v="2"/>
    <x v="2"/>
    <x v="1"/>
    <x v="0"/>
    <x v="0"/>
    <x v="7"/>
  </r>
  <r>
    <x v="1627"/>
    <x v="12"/>
    <x v="11"/>
    <n v="52.1"/>
    <n v="468.90000000000003"/>
    <x v="60"/>
    <x v="9"/>
    <d v="2025-03-04T00:00:00"/>
    <x v="1"/>
    <x v="1"/>
    <x v="1"/>
    <x v="0"/>
    <x v="0"/>
    <x v="0"/>
    <x v="8"/>
  </r>
  <r>
    <x v="1628"/>
    <x v="1"/>
    <x v="3"/>
    <n v="45.9"/>
    <n v="321.3"/>
    <x v="60"/>
    <x v="9"/>
    <d v="2025-03-03T00:00:00"/>
    <x v="3"/>
    <x v="1"/>
    <x v="1"/>
    <x v="0"/>
    <x v="1"/>
    <x v="0"/>
    <x v="8"/>
  </r>
  <r>
    <x v="1629"/>
    <x v="1"/>
    <x v="7"/>
    <n v="115.9"/>
    <n v="1159"/>
    <x v="60"/>
    <x v="9"/>
    <d v="2025-03-05T00:00:00"/>
    <x v="2"/>
    <x v="2"/>
    <x v="2"/>
    <x v="1"/>
    <x v="0"/>
    <x v="0"/>
    <x v="8"/>
  </r>
  <r>
    <x v="1630"/>
    <x v="6"/>
    <x v="11"/>
    <n v="86"/>
    <n v="774"/>
    <x v="60"/>
    <x v="9"/>
    <d v="2025-03-07T00:00:00"/>
    <x v="0"/>
    <x v="2"/>
    <x v="2"/>
    <x v="0"/>
    <x v="1"/>
    <x v="0"/>
    <x v="8"/>
  </r>
  <r>
    <x v="1631"/>
    <x v="7"/>
    <x v="3"/>
    <n v="73.599999999999994"/>
    <n v="515.19999999999993"/>
    <x v="60"/>
    <x v="9"/>
    <d v="2025-03-04T00:00:00"/>
    <x v="1"/>
    <x v="2"/>
    <x v="2"/>
    <x v="0"/>
    <x v="0"/>
    <x v="0"/>
    <x v="17"/>
  </r>
  <r>
    <x v="1632"/>
    <x v="10"/>
    <x v="2"/>
    <n v="26.7"/>
    <n v="80.099999999999994"/>
    <x v="60"/>
    <x v="9"/>
    <d v="2025-03-06T00:00:00"/>
    <x v="5"/>
    <x v="2"/>
    <x v="2"/>
    <x v="0"/>
    <x v="0"/>
    <x v="0"/>
    <x v="11"/>
  </r>
  <r>
    <x v="1633"/>
    <x v="8"/>
    <x v="3"/>
    <n v="46.6"/>
    <n v="326.2"/>
    <x v="60"/>
    <x v="9"/>
    <d v="2025-03-04T00:00:00"/>
    <x v="1"/>
    <x v="0"/>
    <x v="0"/>
    <x v="3"/>
    <x v="0"/>
    <x v="0"/>
    <x v="11"/>
  </r>
  <r>
    <x v="1634"/>
    <x v="3"/>
    <x v="2"/>
    <n v="84.6"/>
    <n v="253.79999999999998"/>
    <x v="60"/>
    <x v="9"/>
    <d v="2025-03-04T00:00:00"/>
    <x v="1"/>
    <x v="1"/>
    <x v="1"/>
    <x v="4"/>
    <x v="0"/>
    <x v="0"/>
    <x v="11"/>
  </r>
  <r>
    <x v="1635"/>
    <x v="7"/>
    <x v="21"/>
    <n v="41.5"/>
    <n v="581"/>
    <x v="60"/>
    <x v="9"/>
    <d v="2025-03-16T00:00:00"/>
    <x v="12"/>
    <x v="1"/>
    <x v="1"/>
    <x v="1"/>
    <x v="0"/>
    <x v="0"/>
    <x v="53"/>
  </r>
  <r>
    <x v="1636"/>
    <x v="8"/>
    <x v="0"/>
    <n v="32.799999999999997"/>
    <n v="32.799999999999997"/>
    <x v="60"/>
    <x v="9"/>
    <d v="2025-03-05T00:00:00"/>
    <x v="2"/>
    <x v="1"/>
    <x v="1"/>
    <x v="0"/>
    <x v="2"/>
    <x v="0"/>
    <x v="30"/>
  </r>
  <r>
    <x v="1637"/>
    <x v="4"/>
    <x v="3"/>
    <n v="46.7"/>
    <n v="326.90000000000003"/>
    <x v="60"/>
    <x v="9"/>
    <d v="2025-03-04T00:00:00"/>
    <x v="1"/>
    <x v="3"/>
    <x v="3"/>
    <x v="0"/>
    <x v="2"/>
    <x v="0"/>
    <x v="18"/>
  </r>
  <r>
    <x v="1638"/>
    <x v="15"/>
    <x v="3"/>
    <n v="21"/>
    <n v="147"/>
    <x v="60"/>
    <x v="9"/>
    <d v="2025-03-05T00:00:00"/>
    <x v="2"/>
    <x v="1"/>
    <x v="1"/>
    <x v="2"/>
    <x v="1"/>
    <x v="0"/>
    <x v="21"/>
  </r>
  <r>
    <x v="1639"/>
    <x v="5"/>
    <x v="3"/>
    <n v="29.4"/>
    <n v="205.79999999999998"/>
    <x v="60"/>
    <x v="9"/>
    <d v="2025-03-02T00:00:00"/>
    <x v="7"/>
    <x v="1"/>
    <x v="1"/>
    <x v="3"/>
    <x v="2"/>
    <x v="0"/>
    <x v="21"/>
  </r>
  <r>
    <x v="1640"/>
    <x v="15"/>
    <x v="1"/>
    <n v="32.299999999999997"/>
    <n v="64.599999999999994"/>
    <x v="60"/>
    <x v="9"/>
    <d v="2025-03-03T00:00:00"/>
    <x v="3"/>
    <x v="1"/>
    <x v="1"/>
    <x v="0"/>
    <x v="2"/>
    <x v="0"/>
    <x v="21"/>
  </r>
  <r>
    <x v="1641"/>
    <x v="6"/>
    <x v="0"/>
    <n v="42.2"/>
    <n v="42.2"/>
    <x v="61"/>
    <x v="9"/>
    <d v="2025-03-05T00:00:00"/>
    <x v="1"/>
    <x v="2"/>
    <x v="2"/>
    <x v="0"/>
    <x v="2"/>
    <x v="0"/>
    <x v="21"/>
  </r>
  <r>
    <x v="1642"/>
    <x v="6"/>
    <x v="0"/>
    <n v="53.7"/>
    <n v="53.7"/>
    <x v="61"/>
    <x v="9"/>
    <d v="2025-03-05T00:00:00"/>
    <x v="1"/>
    <x v="1"/>
    <x v="1"/>
    <x v="1"/>
    <x v="1"/>
    <x v="0"/>
    <x v="1"/>
  </r>
  <r>
    <x v="1643"/>
    <x v="2"/>
    <x v="1"/>
    <n v="123.9"/>
    <n v="247.8"/>
    <x v="61"/>
    <x v="9"/>
    <d v="2025-03-06T00:00:00"/>
    <x v="2"/>
    <x v="1"/>
    <x v="1"/>
    <x v="2"/>
    <x v="0"/>
    <x v="0"/>
    <x v="1"/>
  </r>
  <r>
    <x v="1644"/>
    <x v="4"/>
    <x v="2"/>
    <n v="35.9"/>
    <n v="107.69999999999999"/>
    <x v="61"/>
    <x v="9"/>
    <d v="2025-03-05T00:00:00"/>
    <x v="1"/>
    <x v="1"/>
    <x v="1"/>
    <x v="2"/>
    <x v="0"/>
    <x v="0"/>
    <x v="22"/>
  </r>
  <r>
    <x v="1645"/>
    <x v="4"/>
    <x v="1"/>
    <n v="23.6"/>
    <n v="47.2"/>
    <x v="61"/>
    <x v="9"/>
    <d v="2025-03-06T00:00:00"/>
    <x v="2"/>
    <x v="1"/>
    <x v="1"/>
    <x v="0"/>
    <x v="2"/>
    <x v="0"/>
    <x v="3"/>
  </r>
  <r>
    <x v="1646"/>
    <x v="15"/>
    <x v="36"/>
    <n v="45.7"/>
    <n v="1599.5"/>
    <x v="61"/>
    <x v="9"/>
    <d v="2025-03-04T00:00:00"/>
    <x v="3"/>
    <x v="1"/>
    <x v="1"/>
    <x v="0"/>
    <x v="1"/>
    <x v="0"/>
    <x v="3"/>
  </r>
  <r>
    <x v="1647"/>
    <x v="6"/>
    <x v="5"/>
    <n v="118.3"/>
    <n v="1301.3"/>
    <x v="61"/>
    <x v="9"/>
    <d v="2025-03-05T00:00:00"/>
    <x v="1"/>
    <x v="1"/>
    <x v="1"/>
    <x v="4"/>
    <x v="2"/>
    <x v="0"/>
    <x v="3"/>
  </r>
  <r>
    <x v="1648"/>
    <x v="19"/>
    <x v="0"/>
    <n v="36"/>
    <n v="36"/>
    <x v="61"/>
    <x v="9"/>
    <d v="2025-03-04T00:00:00"/>
    <x v="3"/>
    <x v="2"/>
    <x v="2"/>
    <x v="0"/>
    <x v="1"/>
    <x v="0"/>
    <x v="3"/>
  </r>
  <r>
    <x v="1649"/>
    <x v="8"/>
    <x v="1"/>
    <n v="37.1"/>
    <n v="74.2"/>
    <x v="61"/>
    <x v="9"/>
    <d v="2025-03-06T00:00:00"/>
    <x v="2"/>
    <x v="2"/>
    <x v="2"/>
    <x v="2"/>
    <x v="0"/>
    <x v="0"/>
    <x v="3"/>
  </r>
  <r>
    <x v="1650"/>
    <x v="18"/>
    <x v="2"/>
    <n v="45.1"/>
    <n v="135.30000000000001"/>
    <x v="61"/>
    <x v="9"/>
    <d v="2025-03-05T00:00:00"/>
    <x v="1"/>
    <x v="2"/>
    <x v="2"/>
    <x v="1"/>
    <x v="2"/>
    <x v="0"/>
    <x v="3"/>
  </r>
  <r>
    <x v="1651"/>
    <x v="5"/>
    <x v="27"/>
    <n v="37.9"/>
    <n v="606.4"/>
    <x v="61"/>
    <x v="9"/>
    <d v="2025-03-04T00:00:00"/>
    <x v="3"/>
    <x v="2"/>
    <x v="2"/>
    <x v="3"/>
    <x v="2"/>
    <x v="0"/>
    <x v="3"/>
  </r>
  <r>
    <x v="1652"/>
    <x v="2"/>
    <x v="1"/>
    <n v="121.6"/>
    <n v="243.2"/>
    <x v="61"/>
    <x v="9"/>
    <d v="2025-03-06T00:00:00"/>
    <x v="2"/>
    <x v="1"/>
    <x v="1"/>
    <x v="3"/>
    <x v="2"/>
    <x v="0"/>
    <x v="3"/>
  </r>
  <r>
    <x v="1653"/>
    <x v="5"/>
    <x v="3"/>
    <n v="38.200000000000003"/>
    <n v="267.40000000000003"/>
    <x v="61"/>
    <x v="9"/>
    <d v="2025-03-06T00:00:00"/>
    <x v="2"/>
    <x v="2"/>
    <x v="2"/>
    <x v="0"/>
    <x v="0"/>
    <x v="0"/>
    <x v="3"/>
  </r>
  <r>
    <x v="1654"/>
    <x v="17"/>
    <x v="1"/>
    <n v="37.200000000000003"/>
    <n v="74.400000000000006"/>
    <x v="61"/>
    <x v="9"/>
    <d v="2025-03-06T00:00:00"/>
    <x v="2"/>
    <x v="1"/>
    <x v="1"/>
    <x v="4"/>
    <x v="0"/>
    <x v="0"/>
    <x v="3"/>
  </r>
  <r>
    <x v="1655"/>
    <x v="2"/>
    <x v="12"/>
    <n v="115.7"/>
    <n v="462.8"/>
    <x v="61"/>
    <x v="9"/>
    <d v="2025-03-06T00:00:00"/>
    <x v="2"/>
    <x v="2"/>
    <x v="2"/>
    <x v="1"/>
    <x v="0"/>
    <x v="0"/>
    <x v="3"/>
  </r>
  <r>
    <x v="1656"/>
    <x v="2"/>
    <x v="13"/>
    <n v="99.4"/>
    <n v="596.40000000000009"/>
    <x v="61"/>
    <x v="9"/>
    <d v="2025-03-06T00:00:00"/>
    <x v="2"/>
    <x v="1"/>
    <x v="1"/>
    <x v="0"/>
    <x v="2"/>
    <x v="0"/>
    <x v="3"/>
  </r>
  <r>
    <x v="1657"/>
    <x v="11"/>
    <x v="0"/>
    <n v="38.700000000000003"/>
    <n v="38.700000000000003"/>
    <x v="61"/>
    <x v="9"/>
    <d v="2025-03-04T00:00:00"/>
    <x v="3"/>
    <x v="2"/>
    <x v="2"/>
    <x v="2"/>
    <x v="0"/>
    <x v="0"/>
    <x v="25"/>
  </r>
  <r>
    <x v="1658"/>
    <x v="4"/>
    <x v="1"/>
    <n v="35.5"/>
    <n v="71"/>
    <x v="61"/>
    <x v="9"/>
    <d v="2025-03-06T00:00:00"/>
    <x v="2"/>
    <x v="1"/>
    <x v="1"/>
    <x v="0"/>
    <x v="2"/>
    <x v="0"/>
    <x v="25"/>
  </r>
  <r>
    <x v="1659"/>
    <x v="2"/>
    <x v="12"/>
    <n v="93.3"/>
    <n v="373.2"/>
    <x v="61"/>
    <x v="9"/>
    <d v="2025-03-06T00:00:00"/>
    <x v="2"/>
    <x v="2"/>
    <x v="2"/>
    <x v="0"/>
    <x v="2"/>
    <x v="0"/>
    <x v="6"/>
  </r>
  <r>
    <x v="1660"/>
    <x v="16"/>
    <x v="0"/>
    <n v="31.4"/>
    <n v="31.4"/>
    <x v="61"/>
    <x v="9"/>
    <d v="2025-03-08T00:00:00"/>
    <x v="0"/>
    <x v="2"/>
    <x v="2"/>
    <x v="2"/>
    <x v="2"/>
    <x v="0"/>
    <x v="6"/>
  </r>
  <r>
    <x v="1661"/>
    <x v="1"/>
    <x v="0"/>
    <n v="85.9"/>
    <n v="85.9"/>
    <x v="61"/>
    <x v="9"/>
    <d v="2025-03-06T00:00:00"/>
    <x v="2"/>
    <x v="1"/>
    <x v="1"/>
    <x v="1"/>
    <x v="0"/>
    <x v="0"/>
    <x v="6"/>
  </r>
  <r>
    <x v="1662"/>
    <x v="6"/>
    <x v="8"/>
    <n v="41.7"/>
    <n v="333.6"/>
    <x v="61"/>
    <x v="9"/>
    <d v="2025-03-11T00:00:00"/>
    <x v="9"/>
    <x v="1"/>
    <x v="1"/>
    <x v="0"/>
    <x v="2"/>
    <x v="0"/>
    <x v="7"/>
  </r>
  <r>
    <x v="1663"/>
    <x v="8"/>
    <x v="12"/>
    <n v="31.5"/>
    <n v="126"/>
    <x v="61"/>
    <x v="9"/>
    <d v="2025-03-04T00:00:00"/>
    <x v="3"/>
    <x v="2"/>
    <x v="2"/>
    <x v="0"/>
    <x v="0"/>
    <x v="0"/>
    <x v="7"/>
  </r>
  <r>
    <x v="1664"/>
    <x v="8"/>
    <x v="1"/>
    <n v="36.299999999999997"/>
    <n v="72.599999999999994"/>
    <x v="61"/>
    <x v="9"/>
    <d v="2025-03-04T00:00:00"/>
    <x v="3"/>
    <x v="2"/>
    <x v="2"/>
    <x v="0"/>
    <x v="4"/>
    <x v="0"/>
    <x v="8"/>
  </r>
  <r>
    <x v="1665"/>
    <x v="8"/>
    <x v="2"/>
    <n v="33.4"/>
    <n v="100.19999999999999"/>
    <x v="61"/>
    <x v="9"/>
    <d v="2025-03-04T00:00:00"/>
    <x v="3"/>
    <x v="2"/>
    <x v="2"/>
    <x v="3"/>
    <x v="0"/>
    <x v="0"/>
    <x v="17"/>
  </r>
  <r>
    <x v="1666"/>
    <x v="2"/>
    <x v="2"/>
    <n v="65.2"/>
    <n v="195.60000000000002"/>
    <x v="61"/>
    <x v="9"/>
    <d v="2025-03-04T00:00:00"/>
    <x v="3"/>
    <x v="2"/>
    <x v="2"/>
    <x v="2"/>
    <x v="2"/>
    <x v="0"/>
    <x v="26"/>
  </r>
  <r>
    <x v="1667"/>
    <x v="8"/>
    <x v="11"/>
    <n v="65.5"/>
    <n v="589.5"/>
    <x v="61"/>
    <x v="9"/>
    <d v="2025-03-06T00:00:00"/>
    <x v="2"/>
    <x v="2"/>
    <x v="2"/>
    <x v="0"/>
    <x v="2"/>
    <x v="0"/>
    <x v="9"/>
  </r>
  <r>
    <x v="1668"/>
    <x v="6"/>
    <x v="2"/>
    <n v="52.8"/>
    <n v="158.39999999999998"/>
    <x v="61"/>
    <x v="9"/>
    <d v="2025-03-06T00:00:00"/>
    <x v="2"/>
    <x v="1"/>
    <x v="1"/>
    <x v="2"/>
    <x v="0"/>
    <x v="0"/>
    <x v="9"/>
  </r>
  <r>
    <x v="1669"/>
    <x v="9"/>
    <x v="9"/>
    <n v="24"/>
    <n v="120"/>
    <x v="61"/>
    <x v="9"/>
    <d v="2025-03-07T00:00:00"/>
    <x v="5"/>
    <x v="1"/>
    <x v="1"/>
    <x v="0"/>
    <x v="1"/>
    <x v="0"/>
    <x v="11"/>
  </r>
  <r>
    <x v="1670"/>
    <x v="3"/>
    <x v="2"/>
    <n v="51.2"/>
    <n v="153.60000000000002"/>
    <x v="61"/>
    <x v="9"/>
    <d v="2025-03-04T00:00:00"/>
    <x v="3"/>
    <x v="2"/>
    <x v="2"/>
    <x v="0"/>
    <x v="0"/>
    <x v="0"/>
    <x v="32"/>
  </r>
  <r>
    <x v="1671"/>
    <x v="5"/>
    <x v="2"/>
    <n v="28.3"/>
    <n v="84.9"/>
    <x v="61"/>
    <x v="9"/>
    <d v="2025-03-05T00:00:00"/>
    <x v="1"/>
    <x v="1"/>
    <x v="1"/>
    <x v="4"/>
    <x v="0"/>
    <x v="0"/>
    <x v="19"/>
  </r>
  <r>
    <x v="1672"/>
    <x v="6"/>
    <x v="2"/>
    <n v="42.3"/>
    <n v="126.89999999999999"/>
    <x v="61"/>
    <x v="9"/>
    <d v="2025-03-03T00:00:00"/>
    <x v="7"/>
    <x v="2"/>
    <x v="2"/>
    <x v="2"/>
    <x v="1"/>
    <x v="0"/>
    <x v="19"/>
  </r>
  <r>
    <x v="1673"/>
    <x v="2"/>
    <x v="8"/>
    <n v="163.30000000000001"/>
    <n v="1306.4000000000001"/>
    <x v="62"/>
    <x v="9"/>
    <d v="2025-03-05T00:00:00"/>
    <x v="3"/>
    <x v="2"/>
    <x v="2"/>
    <x v="1"/>
    <x v="0"/>
    <x v="0"/>
    <x v="13"/>
  </r>
  <r>
    <x v="1674"/>
    <x v="6"/>
    <x v="3"/>
    <n v="47.3"/>
    <n v="331.09999999999997"/>
    <x v="62"/>
    <x v="9"/>
    <d v="2025-03-07T00:00:00"/>
    <x v="2"/>
    <x v="2"/>
    <x v="2"/>
    <x v="4"/>
    <x v="1"/>
    <x v="0"/>
    <x v="21"/>
  </r>
  <r>
    <x v="1675"/>
    <x v="8"/>
    <x v="27"/>
    <n v="27.3"/>
    <n v="436.8"/>
    <x v="62"/>
    <x v="9"/>
    <d v="2025-03-05T00:00:00"/>
    <x v="3"/>
    <x v="2"/>
    <x v="2"/>
    <x v="2"/>
    <x v="0"/>
    <x v="0"/>
    <x v="21"/>
  </r>
  <r>
    <x v="1676"/>
    <x v="10"/>
    <x v="13"/>
    <n v="34.9"/>
    <n v="209.39999999999998"/>
    <x v="62"/>
    <x v="9"/>
    <d v="2025-03-15T00:00:00"/>
    <x v="11"/>
    <x v="2"/>
    <x v="2"/>
    <x v="0"/>
    <x v="0"/>
    <x v="0"/>
    <x v="21"/>
  </r>
  <r>
    <x v="1677"/>
    <x v="6"/>
    <x v="1"/>
    <n v="53.9"/>
    <n v="107.8"/>
    <x v="62"/>
    <x v="9"/>
    <d v="2025-03-07T00:00:00"/>
    <x v="2"/>
    <x v="3"/>
    <x v="3"/>
    <x v="0"/>
    <x v="4"/>
    <x v="0"/>
    <x v="1"/>
  </r>
  <r>
    <x v="1678"/>
    <x v="2"/>
    <x v="1"/>
    <n v="87.2"/>
    <n v="174.4"/>
    <x v="62"/>
    <x v="9"/>
    <d v="2025-03-05T00:00:00"/>
    <x v="3"/>
    <x v="2"/>
    <x v="2"/>
    <x v="0"/>
    <x v="1"/>
    <x v="0"/>
    <x v="1"/>
  </r>
  <r>
    <x v="1679"/>
    <x v="15"/>
    <x v="0"/>
    <n v="58.8"/>
    <n v="58.8"/>
    <x v="62"/>
    <x v="9"/>
    <d v="2025-03-06T00:00:00"/>
    <x v="1"/>
    <x v="2"/>
    <x v="2"/>
    <x v="2"/>
    <x v="0"/>
    <x v="0"/>
    <x v="44"/>
  </r>
  <r>
    <x v="1680"/>
    <x v="2"/>
    <x v="3"/>
    <n v="125.5"/>
    <n v="878.5"/>
    <x v="62"/>
    <x v="9"/>
    <d v="2025-03-05T00:00:00"/>
    <x v="3"/>
    <x v="1"/>
    <x v="1"/>
    <x v="2"/>
    <x v="4"/>
    <x v="0"/>
    <x v="22"/>
  </r>
  <r>
    <x v="1681"/>
    <x v="1"/>
    <x v="12"/>
    <n v="124.6"/>
    <n v="498.4"/>
    <x v="62"/>
    <x v="9"/>
    <d v="2025-03-06T00:00:00"/>
    <x v="1"/>
    <x v="2"/>
    <x v="2"/>
    <x v="0"/>
    <x v="1"/>
    <x v="0"/>
    <x v="22"/>
  </r>
  <r>
    <x v="1682"/>
    <x v="1"/>
    <x v="3"/>
    <n v="39.9"/>
    <n v="279.3"/>
    <x v="62"/>
    <x v="9"/>
    <d v="2025-03-05T00:00:00"/>
    <x v="3"/>
    <x v="1"/>
    <x v="1"/>
    <x v="2"/>
    <x v="1"/>
    <x v="0"/>
    <x v="3"/>
  </r>
  <r>
    <x v="1683"/>
    <x v="6"/>
    <x v="0"/>
    <n v="94.6"/>
    <n v="94.6"/>
    <x v="62"/>
    <x v="9"/>
    <d v="2025-03-18T00:00:00"/>
    <x v="12"/>
    <x v="2"/>
    <x v="2"/>
    <x v="0"/>
    <x v="1"/>
    <x v="0"/>
    <x v="3"/>
  </r>
  <r>
    <x v="1684"/>
    <x v="2"/>
    <x v="1"/>
    <n v="149.6"/>
    <n v="299.2"/>
    <x v="62"/>
    <x v="9"/>
    <d v="2025-03-05T00:00:00"/>
    <x v="3"/>
    <x v="2"/>
    <x v="2"/>
    <x v="0"/>
    <x v="0"/>
    <x v="0"/>
    <x v="3"/>
  </r>
  <r>
    <x v="1685"/>
    <x v="8"/>
    <x v="0"/>
    <n v="52.2"/>
    <n v="52.2"/>
    <x v="62"/>
    <x v="9"/>
    <d v="2025-03-05T00:00:00"/>
    <x v="3"/>
    <x v="0"/>
    <x v="0"/>
    <x v="1"/>
    <x v="0"/>
    <x v="0"/>
    <x v="3"/>
  </r>
  <r>
    <x v="1686"/>
    <x v="6"/>
    <x v="1"/>
    <n v="96.5"/>
    <n v="193"/>
    <x v="62"/>
    <x v="9"/>
    <d v="2025-03-05T00:00:00"/>
    <x v="3"/>
    <x v="2"/>
    <x v="2"/>
    <x v="1"/>
    <x v="1"/>
    <x v="0"/>
    <x v="3"/>
  </r>
  <r>
    <x v="1687"/>
    <x v="8"/>
    <x v="1"/>
    <n v="79.8"/>
    <n v="159.6"/>
    <x v="62"/>
    <x v="9"/>
    <d v="2025-03-06T00:00:00"/>
    <x v="1"/>
    <x v="2"/>
    <x v="2"/>
    <x v="0"/>
    <x v="1"/>
    <x v="0"/>
    <x v="3"/>
  </r>
  <r>
    <x v="1688"/>
    <x v="8"/>
    <x v="2"/>
    <n v="35.6"/>
    <n v="106.80000000000001"/>
    <x v="62"/>
    <x v="9"/>
    <d v="2025-03-05T00:00:00"/>
    <x v="3"/>
    <x v="2"/>
    <x v="2"/>
    <x v="2"/>
    <x v="0"/>
    <x v="0"/>
    <x v="3"/>
  </r>
  <r>
    <x v="1689"/>
    <x v="16"/>
    <x v="0"/>
    <n v="50.2"/>
    <n v="50.2"/>
    <x v="62"/>
    <x v="9"/>
    <d v="2025-03-05T00:00:00"/>
    <x v="3"/>
    <x v="2"/>
    <x v="2"/>
    <x v="1"/>
    <x v="2"/>
    <x v="0"/>
    <x v="3"/>
  </r>
  <r>
    <x v="1690"/>
    <x v="1"/>
    <x v="2"/>
    <n v="55.3"/>
    <n v="165.89999999999998"/>
    <x v="62"/>
    <x v="9"/>
    <d v="2025-03-07T00:00:00"/>
    <x v="2"/>
    <x v="2"/>
    <x v="2"/>
    <x v="0"/>
    <x v="4"/>
    <x v="0"/>
    <x v="40"/>
  </r>
  <r>
    <x v="1691"/>
    <x v="6"/>
    <x v="3"/>
    <n v="104.5"/>
    <n v="731.5"/>
    <x v="62"/>
    <x v="9"/>
    <d v="2025-03-08T00:00:00"/>
    <x v="5"/>
    <x v="2"/>
    <x v="2"/>
    <x v="1"/>
    <x v="0"/>
    <x v="0"/>
    <x v="7"/>
  </r>
  <r>
    <x v="1692"/>
    <x v="6"/>
    <x v="12"/>
    <n v="66.5"/>
    <n v="266"/>
    <x v="62"/>
    <x v="9"/>
    <d v="2025-03-06T00:00:00"/>
    <x v="1"/>
    <x v="1"/>
    <x v="1"/>
    <x v="1"/>
    <x v="0"/>
    <x v="0"/>
    <x v="7"/>
  </r>
  <r>
    <x v="1693"/>
    <x v="10"/>
    <x v="8"/>
    <n v="38.299999999999997"/>
    <n v="306.39999999999998"/>
    <x v="62"/>
    <x v="9"/>
    <d v="2025-03-05T00:00:00"/>
    <x v="3"/>
    <x v="2"/>
    <x v="2"/>
    <x v="0"/>
    <x v="0"/>
    <x v="0"/>
    <x v="7"/>
  </r>
  <r>
    <x v="1694"/>
    <x v="6"/>
    <x v="2"/>
    <n v="63.8"/>
    <n v="191.39999999999998"/>
    <x v="62"/>
    <x v="9"/>
    <d v="2025-03-07T00:00:00"/>
    <x v="2"/>
    <x v="2"/>
    <x v="2"/>
    <x v="1"/>
    <x v="0"/>
    <x v="0"/>
    <x v="8"/>
  </r>
  <r>
    <x v="1695"/>
    <x v="15"/>
    <x v="0"/>
    <n v="21.4"/>
    <n v="21.4"/>
    <x v="62"/>
    <x v="9"/>
    <d v="2025-03-04T00:00:00"/>
    <x v="7"/>
    <x v="1"/>
    <x v="1"/>
    <x v="4"/>
    <x v="0"/>
    <x v="0"/>
    <x v="8"/>
  </r>
  <r>
    <x v="1696"/>
    <x v="8"/>
    <x v="12"/>
    <n v="44.1"/>
    <n v="176.4"/>
    <x v="62"/>
    <x v="9"/>
    <d v="2025-03-06T00:00:00"/>
    <x v="1"/>
    <x v="2"/>
    <x v="2"/>
    <x v="2"/>
    <x v="0"/>
    <x v="0"/>
    <x v="8"/>
  </r>
  <r>
    <x v="1697"/>
    <x v="5"/>
    <x v="8"/>
    <n v="57.6"/>
    <n v="460.8"/>
    <x v="62"/>
    <x v="9"/>
    <d v="2025-03-06T00:00:00"/>
    <x v="1"/>
    <x v="1"/>
    <x v="1"/>
    <x v="1"/>
    <x v="2"/>
    <x v="0"/>
    <x v="8"/>
  </r>
  <r>
    <x v="1698"/>
    <x v="9"/>
    <x v="1"/>
    <n v="20.3"/>
    <n v="40.6"/>
    <x v="62"/>
    <x v="9"/>
    <d v="2025-03-10T00:00:00"/>
    <x v="4"/>
    <x v="2"/>
    <x v="2"/>
    <x v="3"/>
    <x v="0"/>
    <x v="0"/>
    <x v="8"/>
  </r>
  <r>
    <x v="1699"/>
    <x v="8"/>
    <x v="0"/>
    <n v="22.9"/>
    <n v="22.9"/>
    <x v="62"/>
    <x v="9"/>
    <d v="2025-03-06T00:00:00"/>
    <x v="1"/>
    <x v="2"/>
    <x v="2"/>
    <x v="2"/>
    <x v="2"/>
    <x v="0"/>
    <x v="8"/>
  </r>
  <r>
    <x v="1700"/>
    <x v="6"/>
    <x v="12"/>
    <n v="105.9"/>
    <n v="423.6"/>
    <x v="62"/>
    <x v="9"/>
    <d v="2025-03-05T00:00:00"/>
    <x v="3"/>
    <x v="2"/>
    <x v="2"/>
    <x v="1"/>
    <x v="2"/>
    <x v="0"/>
    <x v="17"/>
  </r>
  <r>
    <x v="1701"/>
    <x v="1"/>
    <x v="11"/>
    <n v="37.4"/>
    <n v="336.59999999999997"/>
    <x v="62"/>
    <x v="9"/>
    <d v="2025-03-08T00:00:00"/>
    <x v="5"/>
    <x v="1"/>
    <x v="1"/>
    <x v="1"/>
    <x v="0"/>
    <x v="0"/>
    <x v="11"/>
  </r>
  <r>
    <x v="1702"/>
    <x v="18"/>
    <x v="1"/>
    <n v="79"/>
    <n v="158"/>
    <x v="62"/>
    <x v="9"/>
    <d v="2025-03-05T00:00:00"/>
    <x v="3"/>
    <x v="1"/>
    <x v="1"/>
    <x v="2"/>
    <x v="0"/>
    <x v="0"/>
    <x v="28"/>
  </r>
  <r>
    <x v="1703"/>
    <x v="0"/>
    <x v="2"/>
    <n v="19.3"/>
    <n v="57.900000000000006"/>
    <x v="62"/>
    <x v="9"/>
    <d v="2025-03-05T00:00:00"/>
    <x v="3"/>
    <x v="2"/>
    <x v="2"/>
    <x v="4"/>
    <x v="0"/>
    <x v="0"/>
    <x v="21"/>
  </r>
  <r>
    <x v="1704"/>
    <x v="0"/>
    <x v="0"/>
    <n v="24"/>
    <n v="24"/>
    <x v="62"/>
    <x v="9"/>
    <d v="2025-03-05T00:00:00"/>
    <x v="3"/>
    <x v="2"/>
    <x v="2"/>
    <x v="1"/>
    <x v="0"/>
    <x v="0"/>
    <x v="1"/>
  </r>
  <r>
    <x v="1705"/>
    <x v="6"/>
    <x v="9"/>
    <n v="71.3"/>
    <n v="356.5"/>
    <x v="62"/>
    <x v="9"/>
    <d v="2025-03-07T00:00:00"/>
    <x v="2"/>
    <x v="2"/>
    <x v="2"/>
    <x v="2"/>
    <x v="0"/>
    <x v="0"/>
    <x v="2"/>
  </r>
  <r>
    <x v="1706"/>
    <x v="5"/>
    <x v="1"/>
    <n v="166.2"/>
    <n v="332.4"/>
    <x v="62"/>
    <x v="9"/>
    <d v="2025-03-05T00:00:00"/>
    <x v="3"/>
    <x v="1"/>
    <x v="1"/>
    <x v="0"/>
    <x v="2"/>
    <x v="0"/>
    <x v="50"/>
  </r>
  <r>
    <x v="1707"/>
    <x v="6"/>
    <x v="0"/>
    <n v="81"/>
    <n v="81"/>
    <x v="62"/>
    <x v="9"/>
    <d v="2025-03-05T00:00:00"/>
    <x v="3"/>
    <x v="2"/>
    <x v="2"/>
    <x v="2"/>
    <x v="1"/>
    <x v="0"/>
    <x v="3"/>
  </r>
  <r>
    <x v="1708"/>
    <x v="10"/>
    <x v="13"/>
    <n v="38.5"/>
    <n v="231"/>
    <x v="62"/>
    <x v="9"/>
    <d v="2025-03-08T00:00:00"/>
    <x v="5"/>
    <x v="2"/>
    <x v="2"/>
    <x v="0"/>
    <x v="0"/>
    <x v="0"/>
    <x v="3"/>
  </r>
  <r>
    <x v="1709"/>
    <x v="6"/>
    <x v="0"/>
    <n v="86.1"/>
    <n v="86.1"/>
    <x v="62"/>
    <x v="9"/>
    <d v="2025-03-06T00:00:00"/>
    <x v="1"/>
    <x v="2"/>
    <x v="2"/>
    <x v="3"/>
    <x v="0"/>
    <x v="0"/>
    <x v="3"/>
  </r>
  <r>
    <x v="1710"/>
    <x v="2"/>
    <x v="9"/>
    <n v="51"/>
    <n v="255"/>
    <x v="62"/>
    <x v="9"/>
    <d v="2025-03-05T00:00:00"/>
    <x v="3"/>
    <x v="1"/>
    <x v="1"/>
    <x v="0"/>
    <x v="1"/>
    <x v="0"/>
    <x v="3"/>
  </r>
  <r>
    <x v="1711"/>
    <x v="3"/>
    <x v="9"/>
    <n v="115.4"/>
    <n v="577"/>
    <x v="62"/>
    <x v="9"/>
    <d v="2025-03-05T00:00:00"/>
    <x v="3"/>
    <x v="1"/>
    <x v="1"/>
    <x v="0"/>
    <x v="0"/>
    <x v="0"/>
    <x v="3"/>
  </r>
  <r>
    <x v="1712"/>
    <x v="6"/>
    <x v="12"/>
    <n v="176.5"/>
    <n v="706"/>
    <x v="62"/>
    <x v="9"/>
    <d v="2025-03-05T00:00:00"/>
    <x v="3"/>
    <x v="2"/>
    <x v="2"/>
    <x v="2"/>
    <x v="2"/>
    <x v="0"/>
    <x v="3"/>
  </r>
  <r>
    <x v="1713"/>
    <x v="7"/>
    <x v="2"/>
    <n v="48.9"/>
    <n v="146.69999999999999"/>
    <x v="62"/>
    <x v="9"/>
    <d v="2025-03-05T00:00:00"/>
    <x v="3"/>
    <x v="1"/>
    <x v="1"/>
    <x v="4"/>
    <x v="0"/>
    <x v="0"/>
    <x v="3"/>
  </r>
  <r>
    <x v="1714"/>
    <x v="8"/>
    <x v="2"/>
    <n v="18.100000000000001"/>
    <n v="54.300000000000004"/>
    <x v="62"/>
    <x v="9"/>
    <d v="2025-03-11T00:00:00"/>
    <x v="6"/>
    <x v="2"/>
    <x v="2"/>
    <x v="1"/>
    <x v="2"/>
    <x v="0"/>
    <x v="29"/>
  </r>
  <r>
    <x v="1715"/>
    <x v="2"/>
    <x v="1"/>
    <n v="118.5"/>
    <n v="237"/>
    <x v="62"/>
    <x v="9"/>
    <d v="2025-03-07T00:00:00"/>
    <x v="2"/>
    <x v="1"/>
    <x v="1"/>
    <x v="1"/>
    <x v="2"/>
    <x v="0"/>
    <x v="16"/>
  </r>
  <r>
    <x v="1716"/>
    <x v="15"/>
    <x v="3"/>
    <n v="59.1"/>
    <n v="413.7"/>
    <x v="62"/>
    <x v="9"/>
    <d v="2025-03-05T00:00:00"/>
    <x v="3"/>
    <x v="2"/>
    <x v="2"/>
    <x v="3"/>
    <x v="0"/>
    <x v="0"/>
    <x v="25"/>
  </r>
  <r>
    <x v="1717"/>
    <x v="4"/>
    <x v="0"/>
    <n v="21.2"/>
    <n v="21.2"/>
    <x v="62"/>
    <x v="9"/>
    <d v="2025-03-05T00:00:00"/>
    <x v="3"/>
    <x v="2"/>
    <x v="2"/>
    <x v="0"/>
    <x v="1"/>
    <x v="0"/>
    <x v="6"/>
  </r>
  <r>
    <x v="1718"/>
    <x v="6"/>
    <x v="1"/>
    <n v="68.8"/>
    <n v="137.6"/>
    <x v="62"/>
    <x v="9"/>
    <d v="2025-03-09T00:00:00"/>
    <x v="0"/>
    <x v="2"/>
    <x v="2"/>
    <x v="3"/>
    <x v="2"/>
    <x v="0"/>
    <x v="6"/>
  </r>
  <r>
    <x v="1719"/>
    <x v="6"/>
    <x v="1"/>
    <n v="65.400000000000006"/>
    <n v="130.80000000000001"/>
    <x v="62"/>
    <x v="9"/>
    <d v="2025-03-08T00:00:00"/>
    <x v="5"/>
    <x v="2"/>
    <x v="2"/>
    <x v="0"/>
    <x v="0"/>
    <x v="0"/>
    <x v="6"/>
  </r>
  <r>
    <x v="1720"/>
    <x v="12"/>
    <x v="9"/>
    <n v="66.3"/>
    <n v="331.5"/>
    <x v="63"/>
    <x v="9"/>
    <d v="2025-03-08T00:00:00"/>
    <x v="2"/>
    <x v="2"/>
    <x v="2"/>
    <x v="4"/>
    <x v="0"/>
    <x v="0"/>
    <x v="6"/>
  </r>
  <r>
    <x v="1721"/>
    <x v="6"/>
    <x v="2"/>
    <n v="97.5"/>
    <n v="292.5"/>
    <x v="63"/>
    <x v="9"/>
    <d v="2025-03-05T00:00:00"/>
    <x v="7"/>
    <x v="1"/>
    <x v="1"/>
    <x v="3"/>
    <x v="0"/>
    <x v="0"/>
    <x v="8"/>
  </r>
  <r>
    <x v="1722"/>
    <x v="1"/>
    <x v="1"/>
    <n v="44"/>
    <n v="88"/>
    <x v="63"/>
    <x v="9"/>
    <d v="2025-03-08T00:00:00"/>
    <x v="2"/>
    <x v="2"/>
    <x v="2"/>
    <x v="1"/>
    <x v="2"/>
    <x v="0"/>
    <x v="8"/>
  </r>
  <r>
    <x v="1723"/>
    <x v="0"/>
    <x v="0"/>
    <n v="21.9"/>
    <n v="21.9"/>
    <x v="63"/>
    <x v="9"/>
    <d v="2025-03-06T00:00:00"/>
    <x v="3"/>
    <x v="1"/>
    <x v="1"/>
    <x v="0"/>
    <x v="0"/>
    <x v="0"/>
    <x v="8"/>
  </r>
  <r>
    <x v="1724"/>
    <x v="4"/>
    <x v="3"/>
    <n v="21.5"/>
    <n v="150.5"/>
    <x v="63"/>
    <x v="9"/>
    <d v="2025-03-07T00:00:00"/>
    <x v="1"/>
    <x v="2"/>
    <x v="2"/>
    <x v="1"/>
    <x v="2"/>
    <x v="0"/>
    <x v="9"/>
  </r>
  <r>
    <x v="1725"/>
    <x v="12"/>
    <x v="13"/>
    <n v="133"/>
    <n v="798"/>
    <x v="63"/>
    <x v="9"/>
    <d v="2025-03-06T00:00:00"/>
    <x v="3"/>
    <x v="3"/>
    <x v="3"/>
    <x v="0"/>
    <x v="2"/>
    <x v="0"/>
    <x v="10"/>
  </r>
  <r>
    <x v="1726"/>
    <x v="8"/>
    <x v="1"/>
    <n v="47.7"/>
    <n v="95.4"/>
    <x v="63"/>
    <x v="9"/>
    <d v="2025-03-09T00:00:00"/>
    <x v="5"/>
    <x v="1"/>
    <x v="1"/>
    <x v="0"/>
    <x v="2"/>
    <x v="0"/>
    <x v="10"/>
  </r>
  <r>
    <x v="1727"/>
    <x v="16"/>
    <x v="2"/>
    <n v="58.1"/>
    <n v="174.3"/>
    <x v="63"/>
    <x v="9"/>
    <d v="2025-03-06T00:00:00"/>
    <x v="3"/>
    <x v="2"/>
    <x v="2"/>
    <x v="0"/>
    <x v="0"/>
    <x v="0"/>
    <x v="11"/>
  </r>
  <r>
    <x v="1728"/>
    <x v="12"/>
    <x v="12"/>
    <n v="66.599999999999994"/>
    <n v="266.39999999999998"/>
    <x v="63"/>
    <x v="9"/>
    <d v="2025-03-06T00:00:00"/>
    <x v="3"/>
    <x v="0"/>
    <x v="0"/>
    <x v="0"/>
    <x v="0"/>
    <x v="0"/>
    <x v="11"/>
  </r>
  <r>
    <x v="1729"/>
    <x v="9"/>
    <x v="0"/>
    <n v="24.1"/>
    <n v="24.1"/>
    <x v="63"/>
    <x v="9"/>
    <d v="2025-03-08T00:00:00"/>
    <x v="2"/>
    <x v="1"/>
    <x v="1"/>
    <x v="2"/>
    <x v="1"/>
    <x v="0"/>
    <x v="19"/>
  </r>
  <r>
    <x v="1730"/>
    <x v="10"/>
    <x v="9"/>
    <n v="51.5"/>
    <n v="257.5"/>
    <x v="63"/>
    <x v="9"/>
    <d v="2025-03-10T00:00:00"/>
    <x v="0"/>
    <x v="2"/>
    <x v="2"/>
    <x v="0"/>
    <x v="0"/>
    <x v="0"/>
    <x v="13"/>
  </r>
  <r>
    <x v="1731"/>
    <x v="0"/>
    <x v="5"/>
    <n v="25.8"/>
    <n v="283.8"/>
    <x v="63"/>
    <x v="9"/>
    <d v="2025-03-09T00:00:00"/>
    <x v="5"/>
    <x v="2"/>
    <x v="2"/>
    <x v="3"/>
    <x v="4"/>
    <x v="0"/>
    <x v="21"/>
  </r>
  <r>
    <x v="1732"/>
    <x v="9"/>
    <x v="12"/>
    <n v="47.7"/>
    <n v="190.8"/>
    <x v="63"/>
    <x v="9"/>
    <d v="2025-03-05T00:00:00"/>
    <x v="7"/>
    <x v="2"/>
    <x v="2"/>
    <x v="0"/>
    <x v="1"/>
    <x v="0"/>
    <x v="21"/>
  </r>
  <r>
    <x v="1733"/>
    <x v="7"/>
    <x v="9"/>
    <n v="73.599999999999994"/>
    <n v="368"/>
    <x v="63"/>
    <x v="9"/>
    <d v="2025-03-09T00:00:00"/>
    <x v="5"/>
    <x v="1"/>
    <x v="1"/>
    <x v="1"/>
    <x v="0"/>
    <x v="0"/>
    <x v="21"/>
  </r>
  <r>
    <x v="1734"/>
    <x v="5"/>
    <x v="3"/>
    <n v="91.2"/>
    <n v="638.4"/>
    <x v="63"/>
    <x v="9"/>
    <d v="2025-03-06T00:00:00"/>
    <x v="3"/>
    <x v="1"/>
    <x v="1"/>
    <x v="1"/>
    <x v="2"/>
    <x v="0"/>
    <x v="21"/>
  </r>
  <r>
    <x v="1735"/>
    <x v="1"/>
    <x v="8"/>
    <n v="36.200000000000003"/>
    <n v="289.60000000000002"/>
    <x v="63"/>
    <x v="9"/>
    <d v="2025-03-05T00:00:00"/>
    <x v="7"/>
    <x v="1"/>
    <x v="1"/>
    <x v="2"/>
    <x v="2"/>
    <x v="0"/>
    <x v="1"/>
  </r>
  <r>
    <x v="1736"/>
    <x v="9"/>
    <x v="8"/>
    <n v="98"/>
    <n v="784"/>
    <x v="63"/>
    <x v="9"/>
    <d v="2025-03-09T00:00:00"/>
    <x v="5"/>
    <x v="2"/>
    <x v="2"/>
    <x v="2"/>
    <x v="0"/>
    <x v="0"/>
    <x v="2"/>
  </r>
  <r>
    <x v="1737"/>
    <x v="1"/>
    <x v="8"/>
    <n v="43.6"/>
    <n v="348.8"/>
    <x v="63"/>
    <x v="9"/>
    <d v="2025-03-06T00:00:00"/>
    <x v="3"/>
    <x v="2"/>
    <x v="2"/>
    <x v="2"/>
    <x v="0"/>
    <x v="0"/>
    <x v="22"/>
  </r>
  <r>
    <x v="1738"/>
    <x v="8"/>
    <x v="7"/>
    <n v="37.799999999999997"/>
    <n v="378"/>
    <x v="63"/>
    <x v="9"/>
    <d v="2025-03-05T00:00:00"/>
    <x v="7"/>
    <x v="3"/>
    <x v="3"/>
    <x v="0"/>
    <x v="0"/>
    <x v="0"/>
    <x v="50"/>
  </r>
  <r>
    <x v="1739"/>
    <x v="17"/>
    <x v="9"/>
    <n v="63.7"/>
    <n v="318.5"/>
    <x v="63"/>
    <x v="9"/>
    <d v="2025-03-08T00:00:00"/>
    <x v="2"/>
    <x v="2"/>
    <x v="2"/>
    <x v="2"/>
    <x v="1"/>
    <x v="0"/>
    <x v="3"/>
  </r>
  <r>
    <x v="1740"/>
    <x v="5"/>
    <x v="11"/>
    <n v="62.9"/>
    <n v="566.1"/>
    <x v="63"/>
    <x v="9"/>
    <d v="2025-03-10T00:00:00"/>
    <x v="0"/>
    <x v="1"/>
    <x v="1"/>
    <x v="3"/>
    <x v="2"/>
    <x v="0"/>
    <x v="3"/>
  </r>
  <r>
    <x v="1741"/>
    <x v="6"/>
    <x v="3"/>
    <n v="61.7"/>
    <n v="431.90000000000003"/>
    <x v="63"/>
    <x v="9"/>
    <d v="2025-03-08T00:00:00"/>
    <x v="2"/>
    <x v="2"/>
    <x v="2"/>
    <x v="2"/>
    <x v="2"/>
    <x v="0"/>
    <x v="3"/>
  </r>
  <r>
    <x v="1742"/>
    <x v="18"/>
    <x v="21"/>
    <n v="36.5"/>
    <n v="511"/>
    <x v="63"/>
    <x v="9"/>
    <d v="2025-03-06T00:00:00"/>
    <x v="3"/>
    <x v="1"/>
    <x v="1"/>
    <x v="0"/>
    <x v="2"/>
    <x v="0"/>
    <x v="3"/>
  </r>
  <r>
    <x v="1743"/>
    <x v="11"/>
    <x v="2"/>
    <n v="98.6"/>
    <n v="295.79999999999995"/>
    <x v="63"/>
    <x v="9"/>
    <d v="2025-03-08T00:00:00"/>
    <x v="2"/>
    <x v="3"/>
    <x v="3"/>
    <x v="0"/>
    <x v="4"/>
    <x v="0"/>
    <x v="3"/>
  </r>
  <r>
    <x v="1744"/>
    <x v="8"/>
    <x v="1"/>
    <n v="19.2"/>
    <n v="38.4"/>
    <x v="63"/>
    <x v="9"/>
    <d v="2025-03-15T00:00:00"/>
    <x v="14"/>
    <x v="1"/>
    <x v="1"/>
    <x v="0"/>
    <x v="0"/>
    <x v="0"/>
    <x v="3"/>
  </r>
  <r>
    <x v="1745"/>
    <x v="3"/>
    <x v="13"/>
    <n v="55.6"/>
    <n v="333.6"/>
    <x v="63"/>
    <x v="9"/>
    <d v="2025-03-09T00:00:00"/>
    <x v="5"/>
    <x v="2"/>
    <x v="2"/>
    <x v="0"/>
    <x v="2"/>
    <x v="0"/>
    <x v="3"/>
  </r>
  <r>
    <x v="1746"/>
    <x v="5"/>
    <x v="13"/>
    <n v="56.4"/>
    <n v="338.4"/>
    <x v="63"/>
    <x v="9"/>
    <d v="2025-03-06T00:00:00"/>
    <x v="3"/>
    <x v="2"/>
    <x v="2"/>
    <x v="1"/>
    <x v="0"/>
    <x v="0"/>
    <x v="3"/>
  </r>
  <r>
    <x v="1747"/>
    <x v="4"/>
    <x v="8"/>
    <n v="43.1"/>
    <n v="344.8"/>
    <x v="63"/>
    <x v="9"/>
    <d v="2025-03-09T00:00:00"/>
    <x v="5"/>
    <x v="2"/>
    <x v="2"/>
    <x v="4"/>
    <x v="0"/>
    <x v="0"/>
    <x v="3"/>
  </r>
  <r>
    <x v="1748"/>
    <x v="1"/>
    <x v="1"/>
    <n v="77.3"/>
    <n v="154.6"/>
    <x v="63"/>
    <x v="9"/>
    <d v="2025-03-07T00:00:00"/>
    <x v="1"/>
    <x v="1"/>
    <x v="1"/>
    <x v="0"/>
    <x v="0"/>
    <x v="0"/>
    <x v="6"/>
  </r>
  <r>
    <x v="1749"/>
    <x v="9"/>
    <x v="8"/>
    <n v="38.299999999999997"/>
    <n v="306.39999999999998"/>
    <x v="63"/>
    <x v="9"/>
    <d v="2025-03-06T00:00:00"/>
    <x v="3"/>
    <x v="1"/>
    <x v="1"/>
    <x v="0"/>
    <x v="0"/>
    <x v="0"/>
    <x v="7"/>
  </r>
  <r>
    <x v="1750"/>
    <x v="0"/>
    <x v="3"/>
    <n v="16.8"/>
    <n v="117.60000000000001"/>
    <x v="63"/>
    <x v="9"/>
    <d v="2025-03-08T00:00:00"/>
    <x v="2"/>
    <x v="1"/>
    <x v="1"/>
    <x v="2"/>
    <x v="1"/>
    <x v="0"/>
    <x v="8"/>
  </r>
  <r>
    <x v="1751"/>
    <x v="2"/>
    <x v="2"/>
    <n v="63.2"/>
    <n v="189.60000000000002"/>
    <x v="63"/>
    <x v="9"/>
    <d v="2025-03-06T00:00:00"/>
    <x v="3"/>
    <x v="2"/>
    <x v="2"/>
    <x v="0"/>
    <x v="2"/>
    <x v="0"/>
    <x v="8"/>
  </r>
  <r>
    <x v="1752"/>
    <x v="14"/>
    <x v="44"/>
    <n v="39.700000000000003"/>
    <n v="913.1"/>
    <x v="63"/>
    <x v="9"/>
    <d v="2025-03-06T00:00:00"/>
    <x v="3"/>
    <x v="1"/>
    <x v="1"/>
    <x v="0"/>
    <x v="0"/>
    <x v="0"/>
    <x v="8"/>
  </r>
  <r>
    <x v="1753"/>
    <x v="10"/>
    <x v="2"/>
    <n v="45.8"/>
    <n v="137.39999999999998"/>
    <x v="63"/>
    <x v="9"/>
    <d v="2025-03-06T00:00:00"/>
    <x v="3"/>
    <x v="2"/>
    <x v="2"/>
    <x v="1"/>
    <x v="2"/>
    <x v="0"/>
    <x v="8"/>
  </r>
  <r>
    <x v="1754"/>
    <x v="0"/>
    <x v="13"/>
    <n v="12.4"/>
    <n v="74.400000000000006"/>
    <x v="63"/>
    <x v="9"/>
    <d v="2025-03-08T00:00:00"/>
    <x v="2"/>
    <x v="1"/>
    <x v="1"/>
    <x v="0"/>
    <x v="0"/>
    <x v="0"/>
    <x v="8"/>
  </r>
  <r>
    <x v="1755"/>
    <x v="14"/>
    <x v="2"/>
    <n v="50.8"/>
    <n v="152.39999999999998"/>
    <x v="64"/>
    <x v="9"/>
    <d v="2025-03-06T00:00:00"/>
    <x v="7"/>
    <x v="2"/>
    <x v="2"/>
    <x v="4"/>
    <x v="0"/>
    <x v="0"/>
    <x v="17"/>
  </r>
  <r>
    <x v="1756"/>
    <x v="9"/>
    <x v="0"/>
    <n v="76"/>
    <n v="76"/>
    <x v="64"/>
    <x v="9"/>
    <d v="2025-03-10T00:00:00"/>
    <x v="5"/>
    <x v="3"/>
    <x v="3"/>
    <x v="2"/>
    <x v="2"/>
    <x v="0"/>
    <x v="17"/>
  </r>
  <r>
    <x v="1757"/>
    <x v="1"/>
    <x v="1"/>
    <n v="51.9"/>
    <n v="103.8"/>
    <x v="64"/>
    <x v="9"/>
    <d v="2025-03-07T00:00:00"/>
    <x v="3"/>
    <x v="1"/>
    <x v="1"/>
    <x v="1"/>
    <x v="2"/>
    <x v="0"/>
    <x v="26"/>
  </r>
  <r>
    <x v="1758"/>
    <x v="2"/>
    <x v="1"/>
    <n v="93.4"/>
    <n v="186.8"/>
    <x v="64"/>
    <x v="9"/>
    <d v="2025-03-13T00:00:00"/>
    <x v="6"/>
    <x v="1"/>
    <x v="1"/>
    <x v="0"/>
    <x v="3"/>
    <x v="0"/>
    <x v="11"/>
  </r>
  <r>
    <x v="1759"/>
    <x v="7"/>
    <x v="13"/>
    <n v="30.8"/>
    <n v="184.8"/>
    <x v="64"/>
    <x v="9"/>
    <d v="2025-03-09T00:00:00"/>
    <x v="2"/>
    <x v="2"/>
    <x v="2"/>
    <x v="1"/>
    <x v="0"/>
    <x v="0"/>
    <x v="11"/>
  </r>
  <r>
    <x v="1760"/>
    <x v="2"/>
    <x v="0"/>
    <n v="143.19999999999999"/>
    <n v="143.19999999999999"/>
    <x v="64"/>
    <x v="9"/>
    <d v="2025-03-09T00:00:00"/>
    <x v="2"/>
    <x v="1"/>
    <x v="1"/>
    <x v="2"/>
    <x v="0"/>
    <x v="0"/>
    <x v="11"/>
  </r>
  <r>
    <x v="1761"/>
    <x v="6"/>
    <x v="5"/>
    <n v="40.4"/>
    <n v="444.4"/>
    <x v="64"/>
    <x v="9"/>
    <d v="2025-03-08T00:00:00"/>
    <x v="1"/>
    <x v="1"/>
    <x v="1"/>
    <x v="2"/>
    <x v="2"/>
    <x v="0"/>
    <x v="18"/>
  </r>
  <r>
    <x v="1762"/>
    <x v="2"/>
    <x v="10"/>
    <n v="131.5"/>
    <n v="2498.5"/>
    <x v="64"/>
    <x v="9"/>
    <d v="2025-03-08T00:00:00"/>
    <x v="1"/>
    <x v="1"/>
    <x v="1"/>
    <x v="1"/>
    <x v="1"/>
    <x v="0"/>
    <x v="18"/>
  </r>
  <r>
    <x v="1763"/>
    <x v="18"/>
    <x v="3"/>
    <n v="61.6"/>
    <n v="431.2"/>
    <x v="64"/>
    <x v="9"/>
    <d v="2025-03-07T00:00:00"/>
    <x v="3"/>
    <x v="1"/>
    <x v="1"/>
    <x v="2"/>
    <x v="0"/>
    <x v="0"/>
    <x v="21"/>
  </r>
  <r>
    <x v="1764"/>
    <x v="9"/>
    <x v="9"/>
    <n v="32.700000000000003"/>
    <n v="163.5"/>
    <x v="64"/>
    <x v="9"/>
    <d v="2025-03-08T00:00:00"/>
    <x v="1"/>
    <x v="1"/>
    <x v="1"/>
    <x v="2"/>
    <x v="0"/>
    <x v="0"/>
    <x v="1"/>
  </r>
  <r>
    <x v="1765"/>
    <x v="0"/>
    <x v="7"/>
    <n v="13.7"/>
    <n v="137"/>
    <x v="64"/>
    <x v="9"/>
    <d v="2025-03-07T00:00:00"/>
    <x v="3"/>
    <x v="1"/>
    <x v="1"/>
    <x v="0"/>
    <x v="2"/>
    <x v="0"/>
    <x v="3"/>
  </r>
  <r>
    <x v="1766"/>
    <x v="0"/>
    <x v="12"/>
    <n v="32.1"/>
    <n v="128.4"/>
    <x v="64"/>
    <x v="9"/>
    <d v="2025-03-07T00:00:00"/>
    <x v="3"/>
    <x v="1"/>
    <x v="1"/>
    <x v="4"/>
    <x v="1"/>
    <x v="0"/>
    <x v="3"/>
  </r>
  <r>
    <x v="1767"/>
    <x v="14"/>
    <x v="8"/>
    <n v="12"/>
    <n v="96"/>
    <x v="64"/>
    <x v="9"/>
    <d v="2025-03-07T00:00:00"/>
    <x v="3"/>
    <x v="1"/>
    <x v="1"/>
    <x v="1"/>
    <x v="0"/>
    <x v="0"/>
    <x v="24"/>
  </r>
  <r>
    <x v="1768"/>
    <x v="12"/>
    <x v="0"/>
    <n v="64.3"/>
    <n v="64.3"/>
    <x v="64"/>
    <x v="9"/>
    <d v="2025-03-08T00:00:00"/>
    <x v="1"/>
    <x v="2"/>
    <x v="2"/>
    <x v="2"/>
    <x v="2"/>
    <x v="0"/>
    <x v="6"/>
  </r>
  <r>
    <x v="1769"/>
    <x v="1"/>
    <x v="2"/>
    <n v="58.2"/>
    <n v="174.60000000000002"/>
    <x v="64"/>
    <x v="9"/>
    <d v="2025-03-08T00:00:00"/>
    <x v="1"/>
    <x v="2"/>
    <x v="2"/>
    <x v="1"/>
    <x v="2"/>
    <x v="0"/>
    <x v="6"/>
  </r>
  <r>
    <x v="1770"/>
    <x v="6"/>
    <x v="12"/>
    <n v="59.2"/>
    <n v="236.8"/>
    <x v="64"/>
    <x v="9"/>
    <d v="2025-03-06T00:00:00"/>
    <x v="7"/>
    <x v="1"/>
    <x v="1"/>
    <x v="1"/>
    <x v="2"/>
    <x v="0"/>
    <x v="6"/>
  </r>
  <r>
    <x v="1771"/>
    <x v="10"/>
    <x v="5"/>
    <n v="35.6"/>
    <n v="391.6"/>
    <x v="64"/>
    <x v="9"/>
    <d v="2025-03-13T00:00:00"/>
    <x v="6"/>
    <x v="1"/>
    <x v="1"/>
    <x v="0"/>
    <x v="2"/>
    <x v="0"/>
    <x v="8"/>
  </r>
  <r>
    <x v="1772"/>
    <x v="16"/>
    <x v="8"/>
    <n v="37"/>
    <n v="296"/>
    <x v="64"/>
    <x v="9"/>
    <d v="2025-03-10T00:00:00"/>
    <x v="5"/>
    <x v="2"/>
    <x v="2"/>
    <x v="2"/>
    <x v="1"/>
    <x v="0"/>
    <x v="8"/>
  </r>
  <r>
    <x v="1773"/>
    <x v="1"/>
    <x v="15"/>
    <n v="80.8"/>
    <n v="1050.3999999999999"/>
    <x v="64"/>
    <x v="9"/>
    <d v="2025-03-08T00:00:00"/>
    <x v="1"/>
    <x v="2"/>
    <x v="2"/>
    <x v="0"/>
    <x v="0"/>
    <x v="0"/>
    <x v="8"/>
  </r>
  <r>
    <x v="1774"/>
    <x v="8"/>
    <x v="1"/>
    <n v="63.2"/>
    <n v="126.4"/>
    <x v="64"/>
    <x v="9"/>
    <d v="2025-03-07T00:00:00"/>
    <x v="3"/>
    <x v="1"/>
    <x v="1"/>
    <x v="0"/>
    <x v="1"/>
    <x v="0"/>
    <x v="8"/>
  </r>
  <r>
    <x v="1775"/>
    <x v="3"/>
    <x v="1"/>
    <n v="40.799999999999997"/>
    <n v="81.599999999999994"/>
    <x v="64"/>
    <x v="9"/>
    <d v="2025-03-08T00:00:00"/>
    <x v="1"/>
    <x v="1"/>
    <x v="1"/>
    <x v="0"/>
    <x v="1"/>
    <x v="0"/>
    <x v="17"/>
  </r>
  <r>
    <x v="1776"/>
    <x v="13"/>
    <x v="13"/>
    <n v="25.7"/>
    <n v="154.19999999999999"/>
    <x v="64"/>
    <x v="9"/>
    <d v="2025-03-08T00:00:00"/>
    <x v="1"/>
    <x v="1"/>
    <x v="1"/>
    <x v="4"/>
    <x v="0"/>
    <x v="0"/>
    <x v="18"/>
  </r>
  <r>
    <x v="1777"/>
    <x v="16"/>
    <x v="1"/>
    <n v="49.9"/>
    <n v="99.8"/>
    <x v="64"/>
    <x v="9"/>
    <d v="2025-03-09T00:00:00"/>
    <x v="2"/>
    <x v="1"/>
    <x v="1"/>
    <x v="0"/>
    <x v="0"/>
    <x v="0"/>
    <x v="20"/>
  </r>
  <r>
    <x v="1778"/>
    <x v="8"/>
    <x v="1"/>
    <n v="20.2"/>
    <n v="40.4"/>
    <x v="64"/>
    <x v="9"/>
    <d v="2025-03-08T00:00:00"/>
    <x v="1"/>
    <x v="2"/>
    <x v="2"/>
    <x v="3"/>
    <x v="0"/>
    <x v="0"/>
    <x v="21"/>
  </r>
  <r>
    <x v="1779"/>
    <x v="6"/>
    <x v="2"/>
    <n v="48.4"/>
    <n v="145.19999999999999"/>
    <x v="64"/>
    <x v="9"/>
    <d v="2025-03-11T00:00:00"/>
    <x v="0"/>
    <x v="2"/>
    <x v="2"/>
    <x v="0"/>
    <x v="2"/>
    <x v="0"/>
    <x v="21"/>
  </r>
  <r>
    <x v="1780"/>
    <x v="6"/>
    <x v="1"/>
    <n v="81"/>
    <n v="162"/>
    <x v="64"/>
    <x v="9"/>
    <d v="2025-03-07T00:00:00"/>
    <x v="3"/>
    <x v="2"/>
    <x v="2"/>
    <x v="1"/>
    <x v="2"/>
    <x v="0"/>
    <x v="21"/>
  </r>
  <r>
    <x v="1781"/>
    <x v="8"/>
    <x v="13"/>
    <n v="19.899999999999999"/>
    <n v="119.39999999999999"/>
    <x v="64"/>
    <x v="9"/>
    <d v="2025-03-09T00:00:00"/>
    <x v="2"/>
    <x v="2"/>
    <x v="2"/>
    <x v="0"/>
    <x v="1"/>
    <x v="0"/>
    <x v="22"/>
  </r>
  <r>
    <x v="1782"/>
    <x v="4"/>
    <x v="12"/>
    <n v="32.200000000000003"/>
    <n v="128.80000000000001"/>
    <x v="64"/>
    <x v="9"/>
    <d v="2025-03-16T00:00:00"/>
    <x v="14"/>
    <x v="1"/>
    <x v="1"/>
    <x v="0"/>
    <x v="0"/>
    <x v="0"/>
    <x v="22"/>
  </r>
  <r>
    <x v="1783"/>
    <x v="5"/>
    <x v="2"/>
    <n v="76.8"/>
    <n v="230.39999999999998"/>
    <x v="64"/>
    <x v="9"/>
    <d v="2025-03-07T00:00:00"/>
    <x v="3"/>
    <x v="2"/>
    <x v="2"/>
    <x v="0"/>
    <x v="1"/>
    <x v="0"/>
    <x v="3"/>
  </r>
  <r>
    <x v="1784"/>
    <x v="6"/>
    <x v="1"/>
    <n v="41.9"/>
    <n v="83.8"/>
    <x v="64"/>
    <x v="9"/>
    <d v="2025-03-08T00:00:00"/>
    <x v="1"/>
    <x v="2"/>
    <x v="2"/>
    <x v="0"/>
    <x v="0"/>
    <x v="0"/>
    <x v="3"/>
  </r>
  <r>
    <x v="1785"/>
    <x v="0"/>
    <x v="3"/>
    <n v="34"/>
    <n v="238"/>
    <x v="64"/>
    <x v="9"/>
    <d v="2025-03-08T00:00:00"/>
    <x v="1"/>
    <x v="2"/>
    <x v="2"/>
    <x v="1"/>
    <x v="2"/>
    <x v="0"/>
    <x v="3"/>
  </r>
  <r>
    <x v="1786"/>
    <x v="7"/>
    <x v="3"/>
    <n v="61.3"/>
    <n v="429.09999999999997"/>
    <x v="64"/>
    <x v="9"/>
    <d v="2025-03-06T00:00:00"/>
    <x v="7"/>
    <x v="2"/>
    <x v="2"/>
    <x v="4"/>
    <x v="2"/>
    <x v="0"/>
    <x v="3"/>
  </r>
  <r>
    <x v="1787"/>
    <x v="9"/>
    <x v="0"/>
    <n v="54.7"/>
    <n v="54.7"/>
    <x v="65"/>
    <x v="9"/>
    <d v="2025-03-08T00:00:00"/>
    <x v="3"/>
    <x v="1"/>
    <x v="1"/>
    <x v="0"/>
    <x v="1"/>
    <x v="0"/>
    <x v="3"/>
  </r>
  <r>
    <x v="1788"/>
    <x v="6"/>
    <x v="7"/>
    <n v="84.7"/>
    <n v="847"/>
    <x v="65"/>
    <x v="9"/>
    <d v="2025-03-11T00:00:00"/>
    <x v="5"/>
    <x v="2"/>
    <x v="2"/>
    <x v="0"/>
    <x v="0"/>
    <x v="0"/>
    <x v="3"/>
  </r>
  <r>
    <x v="1789"/>
    <x v="1"/>
    <x v="2"/>
    <n v="93.4"/>
    <n v="280.20000000000005"/>
    <x v="65"/>
    <x v="9"/>
    <d v="2025-03-11T00:00:00"/>
    <x v="5"/>
    <x v="2"/>
    <x v="2"/>
    <x v="3"/>
    <x v="0"/>
    <x v="0"/>
    <x v="3"/>
  </r>
  <r>
    <x v="1790"/>
    <x v="8"/>
    <x v="9"/>
    <n v="27"/>
    <n v="135"/>
    <x v="65"/>
    <x v="9"/>
    <d v="2025-03-10T00:00:00"/>
    <x v="2"/>
    <x v="1"/>
    <x v="1"/>
    <x v="0"/>
    <x v="1"/>
    <x v="0"/>
    <x v="3"/>
  </r>
  <r>
    <x v="1791"/>
    <x v="0"/>
    <x v="12"/>
    <n v="10.9"/>
    <n v="43.6"/>
    <x v="65"/>
    <x v="9"/>
    <d v="2025-03-08T00:00:00"/>
    <x v="3"/>
    <x v="1"/>
    <x v="1"/>
    <x v="2"/>
    <x v="0"/>
    <x v="0"/>
    <x v="3"/>
  </r>
  <r>
    <x v="1792"/>
    <x v="16"/>
    <x v="2"/>
    <n v="48"/>
    <n v="144"/>
    <x v="65"/>
    <x v="9"/>
    <d v="2025-03-12T00:00:00"/>
    <x v="0"/>
    <x v="2"/>
    <x v="2"/>
    <x v="4"/>
    <x v="0"/>
    <x v="0"/>
    <x v="3"/>
  </r>
  <r>
    <x v="1793"/>
    <x v="5"/>
    <x v="1"/>
    <n v="67.900000000000006"/>
    <n v="135.80000000000001"/>
    <x v="65"/>
    <x v="9"/>
    <d v="2025-03-08T00:00:00"/>
    <x v="3"/>
    <x v="1"/>
    <x v="1"/>
    <x v="0"/>
    <x v="2"/>
    <x v="0"/>
    <x v="23"/>
  </r>
  <r>
    <x v="1794"/>
    <x v="4"/>
    <x v="2"/>
    <n v="36"/>
    <n v="108"/>
    <x v="65"/>
    <x v="9"/>
    <d v="2025-03-08T00:00:00"/>
    <x v="3"/>
    <x v="1"/>
    <x v="1"/>
    <x v="1"/>
    <x v="0"/>
    <x v="0"/>
    <x v="6"/>
  </r>
  <r>
    <x v="1795"/>
    <x v="2"/>
    <x v="0"/>
    <n v="128.80000000000001"/>
    <n v="128.80000000000001"/>
    <x v="65"/>
    <x v="9"/>
    <d v="2025-03-08T00:00:00"/>
    <x v="3"/>
    <x v="1"/>
    <x v="1"/>
    <x v="4"/>
    <x v="2"/>
    <x v="0"/>
    <x v="6"/>
  </r>
  <r>
    <x v="1796"/>
    <x v="18"/>
    <x v="3"/>
    <n v="33.299999999999997"/>
    <n v="233.09999999999997"/>
    <x v="65"/>
    <x v="9"/>
    <d v="2025-03-08T00:00:00"/>
    <x v="3"/>
    <x v="2"/>
    <x v="2"/>
    <x v="3"/>
    <x v="0"/>
    <x v="0"/>
    <x v="8"/>
  </r>
  <r>
    <x v="1797"/>
    <x v="10"/>
    <x v="2"/>
    <n v="37.799999999999997"/>
    <n v="113.39999999999999"/>
    <x v="65"/>
    <x v="9"/>
    <d v="2025-03-09T00:00:00"/>
    <x v="1"/>
    <x v="1"/>
    <x v="1"/>
    <x v="1"/>
    <x v="2"/>
    <x v="0"/>
    <x v="8"/>
  </r>
  <r>
    <x v="1798"/>
    <x v="5"/>
    <x v="2"/>
    <n v="26"/>
    <n v="78"/>
    <x v="65"/>
    <x v="9"/>
    <d v="2025-03-12T00:00:00"/>
    <x v="0"/>
    <x v="2"/>
    <x v="2"/>
    <x v="0"/>
    <x v="0"/>
    <x v="0"/>
    <x v="8"/>
  </r>
  <r>
    <x v="1799"/>
    <x v="8"/>
    <x v="10"/>
    <n v="28.3"/>
    <n v="537.70000000000005"/>
    <x v="65"/>
    <x v="9"/>
    <d v="2025-03-08T00:00:00"/>
    <x v="3"/>
    <x v="2"/>
    <x v="2"/>
    <x v="3"/>
    <x v="4"/>
    <x v="0"/>
    <x v="8"/>
  </r>
  <r>
    <x v="1800"/>
    <x v="8"/>
    <x v="12"/>
    <n v="31.3"/>
    <n v="125.2"/>
    <x v="65"/>
    <x v="9"/>
    <d v="2025-03-07T00:00:00"/>
    <x v="7"/>
    <x v="2"/>
    <x v="2"/>
    <x v="0"/>
    <x v="0"/>
    <x v="0"/>
    <x v="8"/>
  </r>
  <r>
    <x v="1801"/>
    <x v="7"/>
    <x v="2"/>
    <n v="69.5"/>
    <n v="208.5"/>
    <x v="65"/>
    <x v="9"/>
    <d v="2025-03-08T00:00:00"/>
    <x v="3"/>
    <x v="2"/>
    <x v="2"/>
    <x v="3"/>
    <x v="2"/>
    <x v="0"/>
    <x v="8"/>
  </r>
  <r>
    <x v="1802"/>
    <x v="0"/>
    <x v="1"/>
    <n v="16.7"/>
    <n v="33.4"/>
    <x v="65"/>
    <x v="9"/>
    <d v="2025-03-08T00:00:00"/>
    <x v="3"/>
    <x v="2"/>
    <x v="2"/>
    <x v="3"/>
    <x v="1"/>
    <x v="0"/>
    <x v="8"/>
  </r>
  <r>
    <x v="1803"/>
    <x v="9"/>
    <x v="1"/>
    <n v="62.6"/>
    <n v="125.2"/>
    <x v="65"/>
    <x v="9"/>
    <d v="2025-03-08T00:00:00"/>
    <x v="3"/>
    <x v="1"/>
    <x v="1"/>
    <x v="2"/>
    <x v="2"/>
    <x v="0"/>
    <x v="9"/>
  </r>
  <r>
    <x v="1804"/>
    <x v="7"/>
    <x v="0"/>
    <n v="81.2"/>
    <n v="81.2"/>
    <x v="65"/>
    <x v="9"/>
    <d v="2025-03-13T00:00:00"/>
    <x v="4"/>
    <x v="1"/>
    <x v="1"/>
    <x v="4"/>
    <x v="4"/>
    <x v="0"/>
    <x v="9"/>
  </r>
  <r>
    <x v="1805"/>
    <x v="0"/>
    <x v="7"/>
    <n v="12.7"/>
    <n v="127"/>
    <x v="65"/>
    <x v="9"/>
    <d v="2025-03-08T00:00:00"/>
    <x v="3"/>
    <x v="2"/>
    <x v="2"/>
    <x v="0"/>
    <x v="2"/>
    <x v="0"/>
    <x v="9"/>
  </r>
  <r>
    <x v="1806"/>
    <x v="7"/>
    <x v="12"/>
    <n v="77.7"/>
    <n v="310.8"/>
    <x v="66"/>
    <x v="9"/>
    <d v="2025-03-12T00:00:00"/>
    <x v="5"/>
    <x v="1"/>
    <x v="1"/>
    <x v="1"/>
    <x v="0"/>
    <x v="0"/>
    <x v="11"/>
  </r>
  <r>
    <x v="1807"/>
    <x v="5"/>
    <x v="1"/>
    <n v="37.299999999999997"/>
    <n v="74.599999999999994"/>
    <x v="66"/>
    <x v="9"/>
    <d v="2025-03-09T00:00:00"/>
    <x v="3"/>
    <x v="2"/>
    <x v="2"/>
    <x v="0"/>
    <x v="2"/>
    <x v="0"/>
    <x v="18"/>
  </r>
  <r>
    <x v="1808"/>
    <x v="10"/>
    <x v="12"/>
    <n v="35.6"/>
    <n v="142.4"/>
    <x v="66"/>
    <x v="9"/>
    <d v="2025-03-10T00:00:00"/>
    <x v="1"/>
    <x v="2"/>
    <x v="2"/>
    <x v="1"/>
    <x v="1"/>
    <x v="0"/>
    <x v="19"/>
  </r>
  <r>
    <x v="1809"/>
    <x v="2"/>
    <x v="2"/>
    <n v="95"/>
    <n v="285"/>
    <x v="66"/>
    <x v="9"/>
    <d v="2025-03-12T00:00:00"/>
    <x v="5"/>
    <x v="2"/>
    <x v="2"/>
    <x v="2"/>
    <x v="2"/>
    <x v="0"/>
    <x v="56"/>
  </r>
  <r>
    <x v="1810"/>
    <x v="2"/>
    <x v="12"/>
    <n v="172.1"/>
    <n v="688.4"/>
    <x v="66"/>
    <x v="9"/>
    <d v="2025-03-12T00:00:00"/>
    <x v="5"/>
    <x v="3"/>
    <x v="3"/>
    <x v="2"/>
    <x v="2"/>
    <x v="0"/>
    <x v="21"/>
  </r>
  <r>
    <x v="1811"/>
    <x v="2"/>
    <x v="1"/>
    <n v="233"/>
    <n v="466"/>
    <x v="66"/>
    <x v="9"/>
    <d v="2025-03-11T00:00:00"/>
    <x v="2"/>
    <x v="2"/>
    <x v="2"/>
    <x v="1"/>
    <x v="0"/>
    <x v="0"/>
    <x v="21"/>
  </r>
  <r>
    <x v="1812"/>
    <x v="0"/>
    <x v="0"/>
    <n v="43.5"/>
    <n v="43.5"/>
    <x v="66"/>
    <x v="9"/>
    <d v="2025-03-09T00:00:00"/>
    <x v="3"/>
    <x v="2"/>
    <x v="2"/>
    <x v="2"/>
    <x v="2"/>
    <x v="0"/>
    <x v="21"/>
  </r>
  <r>
    <x v="1813"/>
    <x v="9"/>
    <x v="1"/>
    <n v="47.8"/>
    <n v="95.6"/>
    <x v="66"/>
    <x v="9"/>
    <d v="2025-03-11T00:00:00"/>
    <x v="2"/>
    <x v="1"/>
    <x v="1"/>
    <x v="4"/>
    <x v="2"/>
    <x v="0"/>
    <x v="1"/>
  </r>
  <r>
    <x v="1814"/>
    <x v="12"/>
    <x v="1"/>
    <n v="65.8"/>
    <n v="131.6"/>
    <x v="66"/>
    <x v="9"/>
    <d v="2025-03-10T00:00:00"/>
    <x v="1"/>
    <x v="2"/>
    <x v="2"/>
    <x v="0"/>
    <x v="3"/>
    <x v="0"/>
    <x v="33"/>
  </r>
  <r>
    <x v="1815"/>
    <x v="15"/>
    <x v="5"/>
    <n v="38.700000000000003"/>
    <n v="425.70000000000005"/>
    <x v="66"/>
    <x v="9"/>
    <d v="2025-03-08T00:00:00"/>
    <x v="7"/>
    <x v="1"/>
    <x v="1"/>
    <x v="0"/>
    <x v="0"/>
    <x v="0"/>
    <x v="22"/>
  </r>
  <r>
    <x v="1816"/>
    <x v="3"/>
    <x v="12"/>
    <n v="55.7"/>
    <n v="222.8"/>
    <x v="66"/>
    <x v="9"/>
    <d v="2025-03-10T00:00:00"/>
    <x v="1"/>
    <x v="3"/>
    <x v="3"/>
    <x v="0"/>
    <x v="1"/>
    <x v="0"/>
    <x v="22"/>
  </r>
  <r>
    <x v="1817"/>
    <x v="7"/>
    <x v="1"/>
    <n v="102.4"/>
    <n v="204.8"/>
    <x v="66"/>
    <x v="9"/>
    <d v="2025-03-08T00:00:00"/>
    <x v="7"/>
    <x v="2"/>
    <x v="2"/>
    <x v="1"/>
    <x v="0"/>
    <x v="0"/>
    <x v="3"/>
  </r>
  <r>
    <x v="1818"/>
    <x v="1"/>
    <x v="0"/>
    <n v="92"/>
    <n v="92"/>
    <x v="66"/>
    <x v="9"/>
    <d v="2025-03-12T00:00:00"/>
    <x v="5"/>
    <x v="0"/>
    <x v="0"/>
    <x v="2"/>
    <x v="0"/>
    <x v="0"/>
    <x v="3"/>
  </r>
  <r>
    <x v="1819"/>
    <x v="6"/>
    <x v="12"/>
    <n v="75.900000000000006"/>
    <n v="303.60000000000002"/>
    <x v="66"/>
    <x v="9"/>
    <d v="2025-03-10T00:00:00"/>
    <x v="1"/>
    <x v="2"/>
    <x v="2"/>
    <x v="1"/>
    <x v="0"/>
    <x v="0"/>
    <x v="3"/>
  </r>
  <r>
    <x v="1820"/>
    <x v="1"/>
    <x v="12"/>
    <n v="36.200000000000003"/>
    <n v="144.80000000000001"/>
    <x v="66"/>
    <x v="9"/>
    <d v="2025-03-09T00:00:00"/>
    <x v="3"/>
    <x v="2"/>
    <x v="2"/>
    <x v="1"/>
    <x v="0"/>
    <x v="0"/>
    <x v="3"/>
  </r>
  <r>
    <x v="1821"/>
    <x v="6"/>
    <x v="45"/>
    <n v="83.5"/>
    <n v="7264.5"/>
    <x v="66"/>
    <x v="9"/>
    <d v="2025-03-10T00:00:00"/>
    <x v="1"/>
    <x v="0"/>
    <x v="0"/>
    <x v="3"/>
    <x v="0"/>
    <x v="0"/>
    <x v="3"/>
  </r>
  <r>
    <x v="1822"/>
    <x v="19"/>
    <x v="4"/>
    <n v="52.4"/>
    <n v="628.79999999999995"/>
    <x v="66"/>
    <x v="9"/>
    <d v="2025-03-08T00:00:00"/>
    <x v="7"/>
    <x v="1"/>
    <x v="1"/>
    <x v="2"/>
    <x v="0"/>
    <x v="0"/>
    <x v="3"/>
  </r>
  <r>
    <x v="1823"/>
    <x v="12"/>
    <x v="2"/>
    <n v="69.5"/>
    <n v="208.5"/>
    <x v="66"/>
    <x v="9"/>
    <d v="2025-03-09T00:00:00"/>
    <x v="3"/>
    <x v="3"/>
    <x v="3"/>
    <x v="4"/>
    <x v="0"/>
    <x v="0"/>
    <x v="3"/>
  </r>
  <r>
    <x v="1824"/>
    <x v="0"/>
    <x v="0"/>
    <n v="15.5"/>
    <n v="15.5"/>
    <x v="66"/>
    <x v="9"/>
    <d v="2025-03-10T00:00:00"/>
    <x v="1"/>
    <x v="1"/>
    <x v="1"/>
    <x v="0"/>
    <x v="0"/>
    <x v="0"/>
    <x v="3"/>
  </r>
  <r>
    <x v="1825"/>
    <x v="4"/>
    <x v="12"/>
    <n v="35.200000000000003"/>
    <n v="140.80000000000001"/>
    <x v="66"/>
    <x v="9"/>
    <d v="2025-03-09T00:00:00"/>
    <x v="3"/>
    <x v="2"/>
    <x v="2"/>
    <x v="2"/>
    <x v="2"/>
    <x v="0"/>
    <x v="3"/>
  </r>
  <r>
    <x v="1826"/>
    <x v="8"/>
    <x v="13"/>
    <n v="34.6"/>
    <n v="207.60000000000002"/>
    <x v="66"/>
    <x v="9"/>
    <d v="2025-03-09T00:00:00"/>
    <x v="3"/>
    <x v="0"/>
    <x v="0"/>
    <x v="0"/>
    <x v="1"/>
    <x v="0"/>
    <x v="3"/>
  </r>
  <r>
    <x v="1827"/>
    <x v="4"/>
    <x v="0"/>
    <n v="21.3"/>
    <n v="21.3"/>
    <x v="67"/>
    <x v="10"/>
    <d v="2025-03-10T00:00:00"/>
    <x v="3"/>
    <x v="1"/>
    <x v="1"/>
    <x v="2"/>
    <x v="1"/>
    <x v="0"/>
    <x v="3"/>
  </r>
  <r>
    <x v="1828"/>
    <x v="6"/>
    <x v="1"/>
    <n v="136.5"/>
    <n v="273"/>
    <x v="67"/>
    <x v="10"/>
    <d v="2025-03-15T00:00:00"/>
    <x v="4"/>
    <x v="2"/>
    <x v="2"/>
    <x v="0"/>
    <x v="0"/>
    <x v="0"/>
    <x v="37"/>
  </r>
  <r>
    <x v="1829"/>
    <x v="9"/>
    <x v="3"/>
    <n v="30.7"/>
    <n v="214.9"/>
    <x v="67"/>
    <x v="10"/>
    <d v="2025-03-10T00:00:00"/>
    <x v="3"/>
    <x v="1"/>
    <x v="1"/>
    <x v="2"/>
    <x v="2"/>
    <x v="0"/>
    <x v="25"/>
  </r>
  <r>
    <x v="1830"/>
    <x v="1"/>
    <x v="1"/>
    <n v="61.6"/>
    <n v="123.2"/>
    <x v="67"/>
    <x v="10"/>
    <d v="2025-03-10T00:00:00"/>
    <x v="3"/>
    <x v="2"/>
    <x v="2"/>
    <x v="2"/>
    <x v="2"/>
    <x v="0"/>
    <x v="23"/>
  </r>
  <r>
    <x v="1831"/>
    <x v="6"/>
    <x v="12"/>
    <n v="54.3"/>
    <n v="217.2"/>
    <x v="67"/>
    <x v="10"/>
    <d v="2025-03-11T00:00:00"/>
    <x v="1"/>
    <x v="0"/>
    <x v="0"/>
    <x v="4"/>
    <x v="0"/>
    <x v="0"/>
    <x v="7"/>
  </r>
  <r>
    <x v="1832"/>
    <x v="1"/>
    <x v="1"/>
    <n v="44.1"/>
    <n v="88.2"/>
    <x v="67"/>
    <x v="10"/>
    <d v="2025-03-21T00:00:00"/>
    <x v="13"/>
    <x v="2"/>
    <x v="2"/>
    <x v="0"/>
    <x v="2"/>
    <x v="0"/>
    <x v="8"/>
  </r>
  <r>
    <x v="1833"/>
    <x v="8"/>
    <x v="12"/>
    <n v="43.5"/>
    <n v="174"/>
    <x v="67"/>
    <x v="10"/>
    <d v="2025-03-15T00:00:00"/>
    <x v="4"/>
    <x v="1"/>
    <x v="1"/>
    <x v="3"/>
    <x v="0"/>
    <x v="0"/>
    <x v="8"/>
  </r>
  <r>
    <x v="1834"/>
    <x v="8"/>
    <x v="2"/>
    <n v="48.2"/>
    <n v="144.60000000000002"/>
    <x v="67"/>
    <x v="10"/>
    <d v="2025-03-13T00:00:00"/>
    <x v="5"/>
    <x v="1"/>
    <x v="1"/>
    <x v="3"/>
    <x v="1"/>
    <x v="0"/>
    <x v="8"/>
  </r>
  <r>
    <x v="1835"/>
    <x v="19"/>
    <x v="0"/>
    <n v="13.7"/>
    <n v="13.7"/>
    <x v="67"/>
    <x v="10"/>
    <d v="2025-03-10T00:00:00"/>
    <x v="3"/>
    <x v="2"/>
    <x v="2"/>
    <x v="2"/>
    <x v="2"/>
    <x v="0"/>
    <x v="8"/>
  </r>
  <r>
    <x v="1836"/>
    <x v="2"/>
    <x v="1"/>
    <n v="110.5"/>
    <n v="221"/>
    <x v="67"/>
    <x v="10"/>
    <d v="2025-03-10T00:00:00"/>
    <x v="3"/>
    <x v="2"/>
    <x v="2"/>
    <x v="0"/>
    <x v="1"/>
    <x v="0"/>
    <x v="8"/>
  </r>
  <r>
    <x v="1837"/>
    <x v="8"/>
    <x v="2"/>
    <n v="26"/>
    <n v="78"/>
    <x v="67"/>
    <x v="10"/>
    <d v="2025-03-14T00:00:00"/>
    <x v="0"/>
    <x v="2"/>
    <x v="2"/>
    <x v="1"/>
    <x v="1"/>
    <x v="0"/>
    <x v="8"/>
  </r>
  <r>
    <x v="1838"/>
    <x v="2"/>
    <x v="7"/>
    <n v="140.69999999999999"/>
    <n v="1407"/>
    <x v="67"/>
    <x v="10"/>
    <d v="2025-03-15T00:00:00"/>
    <x v="4"/>
    <x v="1"/>
    <x v="1"/>
    <x v="3"/>
    <x v="1"/>
    <x v="0"/>
    <x v="8"/>
  </r>
  <r>
    <x v="1839"/>
    <x v="17"/>
    <x v="1"/>
    <n v="41.7"/>
    <n v="83.4"/>
    <x v="67"/>
    <x v="10"/>
    <d v="2025-03-17T00:00:00"/>
    <x v="9"/>
    <x v="2"/>
    <x v="2"/>
    <x v="0"/>
    <x v="4"/>
    <x v="0"/>
    <x v="8"/>
  </r>
  <r>
    <x v="1840"/>
    <x v="2"/>
    <x v="1"/>
    <n v="135.1"/>
    <n v="270.2"/>
    <x v="67"/>
    <x v="10"/>
    <d v="2025-03-10T00:00:00"/>
    <x v="3"/>
    <x v="1"/>
    <x v="1"/>
    <x v="0"/>
    <x v="2"/>
    <x v="0"/>
    <x v="17"/>
  </r>
  <r>
    <x v="1841"/>
    <x v="12"/>
    <x v="32"/>
    <n v="95.5"/>
    <n v="2101"/>
    <x v="67"/>
    <x v="10"/>
    <d v="2025-03-10T00:00:00"/>
    <x v="3"/>
    <x v="2"/>
    <x v="2"/>
    <x v="4"/>
    <x v="4"/>
    <x v="0"/>
    <x v="26"/>
  </r>
  <r>
    <x v="1842"/>
    <x v="15"/>
    <x v="0"/>
    <n v="25.5"/>
    <n v="25.5"/>
    <x v="67"/>
    <x v="10"/>
    <d v="2025-03-12T00:00:00"/>
    <x v="2"/>
    <x v="0"/>
    <x v="0"/>
    <x v="2"/>
    <x v="2"/>
    <x v="0"/>
    <x v="11"/>
  </r>
  <r>
    <x v="1843"/>
    <x v="1"/>
    <x v="0"/>
    <n v="42.6"/>
    <n v="42.6"/>
    <x v="67"/>
    <x v="10"/>
    <d v="2025-03-13T00:00:00"/>
    <x v="5"/>
    <x v="2"/>
    <x v="2"/>
    <x v="0"/>
    <x v="0"/>
    <x v="0"/>
    <x v="11"/>
  </r>
  <r>
    <x v="1844"/>
    <x v="8"/>
    <x v="20"/>
    <n v="32.4"/>
    <n v="486"/>
    <x v="67"/>
    <x v="10"/>
    <d v="2025-03-10T00:00:00"/>
    <x v="3"/>
    <x v="1"/>
    <x v="1"/>
    <x v="1"/>
    <x v="1"/>
    <x v="0"/>
    <x v="11"/>
  </r>
  <r>
    <x v="1845"/>
    <x v="4"/>
    <x v="12"/>
    <n v="20.2"/>
    <n v="80.8"/>
    <x v="67"/>
    <x v="10"/>
    <d v="2025-03-10T00:00:00"/>
    <x v="3"/>
    <x v="3"/>
    <x v="3"/>
    <x v="2"/>
    <x v="0"/>
    <x v="0"/>
    <x v="11"/>
  </r>
  <r>
    <x v="1846"/>
    <x v="16"/>
    <x v="2"/>
    <n v="52.5"/>
    <n v="157.5"/>
    <x v="67"/>
    <x v="10"/>
    <d v="2025-03-14T00:00:00"/>
    <x v="0"/>
    <x v="2"/>
    <x v="2"/>
    <x v="4"/>
    <x v="0"/>
    <x v="0"/>
    <x v="18"/>
  </r>
  <r>
    <x v="1847"/>
    <x v="2"/>
    <x v="9"/>
    <n v="59.9"/>
    <n v="299.5"/>
    <x v="67"/>
    <x v="10"/>
    <d v="2025-03-11T00:00:00"/>
    <x v="1"/>
    <x v="2"/>
    <x v="2"/>
    <x v="2"/>
    <x v="0"/>
    <x v="0"/>
    <x v="19"/>
  </r>
  <r>
    <x v="1848"/>
    <x v="4"/>
    <x v="1"/>
    <n v="53.2"/>
    <n v="106.4"/>
    <x v="67"/>
    <x v="10"/>
    <d v="2025-03-10T00:00:00"/>
    <x v="3"/>
    <x v="2"/>
    <x v="2"/>
    <x v="1"/>
    <x v="3"/>
    <x v="0"/>
    <x v="20"/>
  </r>
  <r>
    <x v="1849"/>
    <x v="2"/>
    <x v="1"/>
    <n v="60"/>
    <n v="120"/>
    <x v="67"/>
    <x v="10"/>
    <d v="2025-03-15T00:00:00"/>
    <x v="4"/>
    <x v="1"/>
    <x v="1"/>
    <x v="1"/>
    <x v="2"/>
    <x v="0"/>
    <x v="20"/>
  </r>
  <r>
    <x v="1850"/>
    <x v="8"/>
    <x v="2"/>
    <n v="29.3"/>
    <n v="87.9"/>
    <x v="67"/>
    <x v="10"/>
    <d v="2025-03-10T00:00:00"/>
    <x v="3"/>
    <x v="2"/>
    <x v="2"/>
    <x v="4"/>
    <x v="0"/>
    <x v="0"/>
    <x v="13"/>
  </r>
  <r>
    <x v="1851"/>
    <x v="12"/>
    <x v="1"/>
    <n v="55.4"/>
    <n v="110.8"/>
    <x v="67"/>
    <x v="10"/>
    <d v="2025-03-10T00:00:00"/>
    <x v="3"/>
    <x v="2"/>
    <x v="2"/>
    <x v="0"/>
    <x v="2"/>
    <x v="0"/>
    <x v="21"/>
  </r>
  <r>
    <x v="1852"/>
    <x v="0"/>
    <x v="9"/>
    <n v="20.100000000000001"/>
    <n v="100.5"/>
    <x v="67"/>
    <x v="10"/>
    <d v="2025-03-11T00:00:00"/>
    <x v="1"/>
    <x v="2"/>
    <x v="2"/>
    <x v="1"/>
    <x v="2"/>
    <x v="0"/>
    <x v="21"/>
  </r>
  <r>
    <x v="1853"/>
    <x v="14"/>
    <x v="9"/>
    <n v="24"/>
    <n v="120"/>
    <x v="67"/>
    <x v="10"/>
    <d v="2025-03-12T00:00:00"/>
    <x v="2"/>
    <x v="1"/>
    <x v="1"/>
    <x v="2"/>
    <x v="0"/>
    <x v="0"/>
    <x v="1"/>
  </r>
  <r>
    <x v="1854"/>
    <x v="8"/>
    <x v="1"/>
    <n v="30.6"/>
    <n v="61.2"/>
    <x v="68"/>
    <x v="10"/>
    <d v="2025-03-12T00:00:00"/>
    <x v="1"/>
    <x v="2"/>
    <x v="2"/>
    <x v="0"/>
    <x v="0"/>
    <x v="0"/>
    <x v="1"/>
  </r>
  <r>
    <x v="1855"/>
    <x v="10"/>
    <x v="9"/>
    <n v="33"/>
    <n v="165"/>
    <x v="68"/>
    <x v="10"/>
    <d v="2025-03-11T00:00:00"/>
    <x v="3"/>
    <x v="1"/>
    <x v="1"/>
    <x v="1"/>
    <x v="1"/>
    <x v="0"/>
    <x v="27"/>
  </r>
  <r>
    <x v="1856"/>
    <x v="17"/>
    <x v="11"/>
    <n v="42.1"/>
    <n v="378.90000000000003"/>
    <x v="68"/>
    <x v="10"/>
    <d v="2025-03-16T00:00:00"/>
    <x v="4"/>
    <x v="2"/>
    <x v="2"/>
    <x v="2"/>
    <x v="0"/>
    <x v="0"/>
    <x v="44"/>
  </r>
  <r>
    <x v="1857"/>
    <x v="6"/>
    <x v="3"/>
    <n v="77.7"/>
    <n v="543.9"/>
    <x v="68"/>
    <x v="10"/>
    <d v="2025-03-15T00:00:00"/>
    <x v="0"/>
    <x v="2"/>
    <x v="2"/>
    <x v="1"/>
    <x v="2"/>
    <x v="0"/>
    <x v="50"/>
  </r>
  <r>
    <x v="1858"/>
    <x v="17"/>
    <x v="13"/>
    <n v="22.7"/>
    <n v="136.19999999999999"/>
    <x v="68"/>
    <x v="10"/>
    <d v="2025-03-13T00:00:00"/>
    <x v="2"/>
    <x v="2"/>
    <x v="2"/>
    <x v="2"/>
    <x v="0"/>
    <x v="0"/>
    <x v="3"/>
  </r>
  <r>
    <x v="1859"/>
    <x v="2"/>
    <x v="1"/>
    <n v="133"/>
    <n v="266"/>
    <x v="68"/>
    <x v="10"/>
    <d v="2025-03-10T00:00:00"/>
    <x v="7"/>
    <x v="1"/>
    <x v="1"/>
    <x v="2"/>
    <x v="2"/>
    <x v="0"/>
    <x v="3"/>
  </r>
  <r>
    <x v="1860"/>
    <x v="0"/>
    <x v="1"/>
    <n v="23.3"/>
    <n v="46.6"/>
    <x v="68"/>
    <x v="10"/>
    <d v="2025-03-11T00:00:00"/>
    <x v="3"/>
    <x v="1"/>
    <x v="1"/>
    <x v="1"/>
    <x v="2"/>
    <x v="0"/>
    <x v="3"/>
  </r>
  <r>
    <x v="1861"/>
    <x v="8"/>
    <x v="2"/>
    <n v="20.7"/>
    <n v="62.099999999999994"/>
    <x v="68"/>
    <x v="10"/>
    <d v="2025-03-12T00:00:00"/>
    <x v="1"/>
    <x v="3"/>
    <x v="3"/>
    <x v="0"/>
    <x v="2"/>
    <x v="0"/>
    <x v="3"/>
  </r>
  <r>
    <x v="1862"/>
    <x v="12"/>
    <x v="1"/>
    <n v="47"/>
    <n v="94"/>
    <x v="68"/>
    <x v="10"/>
    <d v="2025-03-11T00:00:00"/>
    <x v="3"/>
    <x v="1"/>
    <x v="1"/>
    <x v="1"/>
    <x v="2"/>
    <x v="0"/>
    <x v="3"/>
  </r>
  <r>
    <x v="1863"/>
    <x v="12"/>
    <x v="2"/>
    <n v="38.200000000000003"/>
    <n v="114.60000000000001"/>
    <x v="68"/>
    <x v="10"/>
    <d v="2025-03-12T00:00:00"/>
    <x v="1"/>
    <x v="2"/>
    <x v="2"/>
    <x v="2"/>
    <x v="4"/>
    <x v="0"/>
    <x v="3"/>
  </r>
  <r>
    <x v="1864"/>
    <x v="9"/>
    <x v="0"/>
    <n v="39.1"/>
    <n v="39.1"/>
    <x v="68"/>
    <x v="10"/>
    <d v="2025-03-12T00:00:00"/>
    <x v="1"/>
    <x v="2"/>
    <x v="2"/>
    <x v="0"/>
    <x v="0"/>
    <x v="0"/>
    <x v="3"/>
  </r>
  <r>
    <x v="1865"/>
    <x v="7"/>
    <x v="30"/>
    <n v="55.6"/>
    <n v="1390"/>
    <x v="68"/>
    <x v="10"/>
    <d v="2025-03-12T00:00:00"/>
    <x v="1"/>
    <x v="1"/>
    <x v="1"/>
    <x v="0"/>
    <x v="2"/>
    <x v="0"/>
    <x v="3"/>
  </r>
  <r>
    <x v="1866"/>
    <x v="15"/>
    <x v="0"/>
    <n v="43.1"/>
    <n v="43.1"/>
    <x v="68"/>
    <x v="10"/>
    <d v="2025-03-10T00:00:00"/>
    <x v="7"/>
    <x v="3"/>
    <x v="3"/>
    <x v="1"/>
    <x v="2"/>
    <x v="0"/>
    <x v="3"/>
  </r>
  <r>
    <x v="1867"/>
    <x v="6"/>
    <x v="12"/>
    <n v="48.1"/>
    <n v="192.4"/>
    <x v="68"/>
    <x v="10"/>
    <d v="2025-03-11T00:00:00"/>
    <x v="3"/>
    <x v="2"/>
    <x v="2"/>
    <x v="4"/>
    <x v="2"/>
    <x v="0"/>
    <x v="3"/>
  </r>
  <r>
    <x v="1868"/>
    <x v="4"/>
    <x v="0"/>
    <n v="42"/>
    <n v="42"/>
    <x v="68"/>
    <x v="10"/>
    <d v="2025-03-11T00:00:00"/>
    <x v="3"/>
    <x v="3"/>
    <x v="3"/>
    <x v="0"/>
    <x v="0"/>
    <x v="0"/>
    <x v="3"/>
  </r>
  <r>
    <x v="1869"/>
    <x v="8"/>
    <x v="9"/>
    <n v="18.3"/>
    <n v="91.5"/>
    <x v="68"/>
    <x v="10"/>
    <d v="2025-03-10T00:00:00"/>
    <x v="7"/>
    <x v="2"/>
    <x v="2"/>
    <x v="2"/>
    <x v="0"/>
    <x v="0"/>
    <x v="3"/>
  </r>
  <r>
    <x v="1870"/>
    <x v="10"/>
    <x v="12"/>
    <n v="45.3"/>
    <n v="181.2"/>
    <x v="68"/>
    <x v="10"/>
    <d v="2025-03-13T00:00:00"/>
    <x v="2"/>
    <x v="2"/>
    <x v="2"/>
    <x v="0"/>
    <x v="2"/>
    <x v="0"/>
    <x v="3"/>
  </r>
  <r>
    <x v="1871"/>
    <x v="0"/>
    <x v="1"/>
    <n v="27.6"/>
    <n v="55.2"/>
    <x v="68"/>
    <x v="10"/>
    <d v="2025-03-12T00:00:00"/>
    <x v="1"/>
    <x v="1"/>
    <x v="1"/>
    <x v="0"/>
    <x v="2"/>
    <x v="0"/>
    <x v="37"/>
  </r>
  <r>
    <x v="1872"/>
    <x v="4"/>
    <x v="9"/>
    <n v="26.9"/>
    <n v="134.5"/>
    <x v="68"/>
    <x v="10"/>
    <d v="2025-03-11T00:00:00"/>
    <x v="3"/>
    <x v="2"/>
    <x v="2"/>
    <x v="2"/>
    <x v="0"/>
    <x v="0"/>
    <x v="25"/>
  </r>
  <r>
    <x v="1873"/>
    <x v="2"/>
    <x v="11"/>
    <n v="82.4"/>
    <n v="741.6"/>
    <x v="68"/>
    <x v="10"/>
    <d v="2025-03-12T00:00:00"/>
    <x v="1"/>
    <x v="3"/>
    <x v="3"/>
    <x v="2"/>
    <x v="0"/>
    <x v="0"/>
    <x v="5"/>
  </r>
  <r>
    <x v="1874"/>
    <x v="6"/>
    <x v="0"/>
    <n v="103.7"/>
    <n v="103.7"/>
    <x v="68"/>
    <x v="10"/>
    <d v="2025-03-12T00:00:00"/>
    <x v="1"/>
    <x v="2"/>
    <x v="2"/>
    <x v="1"/>
    <x v="0"/>
    <x v="0"/>
    <x v="5"/>
  </r>
  <r>
    <x v="1875"/>
    <x v="2"/>
    <x v="1"/>
    <n v="58.8"/>
    <n v="117.6"/>
    <x v="68"/>
    <x v="10"/>
    <d v="2025-03-15T00:00:00"/>
    <x v="0"/>
    <x v="2"/>
    <x v="2"/>
    <x v="1"/>
    <x v="2"/>
    <x v="0"/>
    <x v="6"/>
  </r>
  <r>
    <x v="1876"/>
    <x v="13"/>
    <x v="0"/>
    <n v="31.5"/>
    <n v="31.5"/>
    <x v="68"/>
    <x v="10"/>
    <d v="2025-03-11T00:00:00"/>
    <x v="3"/>
    <x v="2"/>
    <x v="2"/>
    <x v="1"/>
    <x v="1"/>
    <x v="0"/>
    <x v="6"/>
  </r>
  <r>
    <x v="1877"/>
    <x v="7"/>
    <x v="9"/>
    <n v="36.799999999999997"/>
    <n v="184"/>
    <x v="68"/>
    <x v="10"/>
    <d v="2025-03-12T00:00:00"/>
    <x v="1"/>
    <x v="2"/>
    <x v="2"/>
    <x v="0"/>
    <x v="0"/>
    <x v="0"/>
    <x v="8"/>
  </r>
  <r>
    <x v="1878"/>
    <x v="3"/>
    <x v="0"/>
    <n v="84.4"/>
    <n v="84.4"/>
    <x v="68"/>
    <x v="10"/>
    <d v="2025-03-11T00:00:00"/>
    <x v="3"/>
    <x v="2"/>
    <x v="2"/>
    <x v="0"/>
    <x v="0"/>
    <x v="0"/>
    <x v="8"/>
  </r>
  <r>
    <x v="1879"/>
    <x v="14"/>
    <x v="0"/>
    <n v="44.7"/>
    <n v="44.7"/>
    <x v="68"/>
    <x v="10"/>
    <d v="2025-03-11T00:00:00"/>
    <x v="3"/>
    <x v="1"/>
    <x v="1"/>
    <x v="0"/>
    <x v="1"/>
    <x v="0"/>
    <x v="8"/>
  </r>
  <r>
    <x v="1880"/>
    <x v="9"/>
    <x v="8"/>
    <n v="39.4"/>
    <n v="315.2"/>
    <x v="68"/>
    <x v="10"/>
    <d v="2025-03-11T00:00:00"/>
    <x v="3"/>
    <x v="2"/>
    <x v="2"/>
    <x v="1"/>
    <x v="2"/>
    <x v="0"/>
    <x v="8"/>
  </r>
  <r>
    <x v="1881"/>
    <x v="11"/>
    <x v="12"/>
    <n v="34.9"/>
    <n v="139.6"/>
    <x v="68"/>
    <x v="10"/>
    <d v="2025-03-12T00:00:00"/>
    <x v="1"/>
    <x v="2"/>
    <x v="2"/>
    <x v="0"/>
    <x v="2"/>
    <x v="0"/>
    <x v="8"/>
  </r>
  <r>
    <x v="1882"/>
    <x v="1"/>
    <x v="2"/>
    <n v="62.3"/>
    <n v="186.89999999999998"/>
    <x v="68"/>
    <x v="10"/>
    <d v="2025-03-12T00:00:00"/>
    <x v="1"/>
    <x v="1"/>
    <x v="1"/>
    <x v="4"/>
    <x v="2"/>
    <x v="0"/>
    <x v="8"/>
  </r>
  <r>
    <x v="1883"/>
    <x v="8"/>
    <x v="12"/>
    <n v="21.1"/>
    <n v="84.4"/>
    <x v="68"/>
    <x v="10"/>
    <d v="2025-03-13T00:00:00"/>
    <x v="2"/>
    <x v="1"/>
    <x v="1"/>
    <x v="3"/>
    <x v="0"/>
    <x v="0"/>
    <x v="8"/>
  </r>
  <r>
    <x v="1884"/>
    <x v="8"/>
    <x v="2"/>
    <n v="33.200000000000003"/>
    <n v="99.600000000000009"/>
    <x v="68"/>
    <x v="10"/>
    <d v="2025-03-24T00:00:00"/>
    <x v="12"/>
    <x v="0"/>
    <x v="0"/>
    <x v="0"/>
    <x v="4"/>
    <x v="0"/>
    <x v="8"/>
  </r>
  <r>
    <x v="1885"/>
    <x v="1"/>
    <x v="12"/>
    <n v="74.5"/>
    <n v="298"/>
    <x v="68"/>
    <x v="10"/>
    <d v="2025-03-11T00:00:00"/>
    <x v="3"/>
    <x v="1"/>
    <x v="1"/>
    <x v="4"/>
    <x v="0"/>
    <x v="0"/>
    <x v="8"/>
  </r>
  <r>
    <x v="1886"/>
    <x v="10"/>
    <x v="4"/>
    <n v="68.599999999999994"/>
    <n v="823.19999999999993"/>
    <x v="68"/>
    <x v="10"/>
    <d v="2025-03-13T00:00:00"/>
    <x v="2"/>
    <x v="2"/>
    <x v="2"/>
    <x v="0"/>
    <x v="2"/>
    <x v="0"/>
    <x v="8"/>
  </r>
  <r>
    <x v="1887"/>
    <x v="5"/>
    <x v="21"/>
    <n v="36.4"/>
    <n v="509.59999999999997"/>
    <x v="68"/>
    <x v="10"/>
    <d v="2025-03-12T00:00:00"/>
    <x v="1"/>
    <x v="2"/>
    <x v="2"/>
    <x v="0"/>
    <x v="1"/>
    <x v="0"/>
    <x v="9"/>
  </r>
  <r>
    <x v="1888"/>
    <x v="16"/>
    <x v="9"/>
    <n v="67.599999999999994"/>
    <n v="338"/>
    <x v="69"/>
    <x v="10"/>
    <d v="2025-03-14T00:00:00"/>
    <x v="2"/>
    <x v="2"/>
    <x v="2"/>
    <x v="4"/>
    <x v="1"/>
    <x v="0"/>
    <x v="9"/>
  </r>
  <r>
    <x v="1889"/>
    <x v="15"/>
    <x v="0"/>
    <n v="46.3"/>
    <n v="46.3"/>
    <x v="69"/>
    <x v="10"/>
    <d v="2025-03-12T00:00:00"/>
    <x v="3"/>
    <x v="1"/>
    <x v="1"/>
    <x v="2"/>
    <x v="0"/>
    <x v="0"/>
    <x v="9"/>
  </r>
  <r>
    <x v="1890"/>
    <x v="1"/>
    <x v="2"/>
    <n v="124.2"/>
    <n v="372.6"/>
    <x v="69"/>
    <x v="10"/>
    <d v="2025-03-13T00:00:00"/>
    <x v="1"/>
    <x v="2"/>
    <x v="2"/>
    <x v="1"/>
    <x v="2"/>
    <x v="0"/>
    <x v="11"/>
  </r>
  <r>
    <x v="1891"/>
    <x v="10"/>
    <x v="1"/>
    <n v="37"/>
    <n v="74"/>
    <x v="69"/>
    <x v="10"/>
    <d v="2025-03-17T00:00:00"/>
    <x v="4"/>
    <x v="1"/>
    <x v="1"/>
    <x v="0"/>
    <x v="0"/>
    <x v="0"/>
    <x v="11"/>
  </r>
  <r>
    <x v="1892"/>
    <x v="5"/>
    <x v="0"/>
    <n v="41.8"/>
    <n v="41.8"/>
    <x v="69"/>
    <x v="10"/>
    <d v="2025-03-12T00:00:00"/>
    <x v="3"/>
    <x v="1"/>
    <x v="1"/>
    <x v="2"/>
    <x v="0"/>
    <x v="0"/>
    <x v="31"/>
  </r>
  <r>
    <x v="1893"/>
    <x v="9"/>
    <x v="1"/>
    <n v="57.2"/>
    <n v="114.4"/>
    <x v="69"/>
    <x v="10"/>
    <d v="2025-03-13T00:00:00"/>
    <x v="1"/>
    <x v="1"/>
    <x v="1"/>
    <x v="2"/>
    <x v="1"/>
    <x v="0"/>
    <x v="20"/>
  </r>
  <r>
    <x v="1894"/>
    <x v="6"/>
    <x v="1"/>
    <n v="47.1"/>
    <n v="94.2"/>
    <x v="69"/>
    <x v="10"/>
    <d v="2025-03-13T00:00:00"/>
    <x v="1"/>
    <x v="2"/>
    <x v="2"/>
    <x v="0"/>
    <x v="4"/>
    <x v="0"/>
    <x v="20"/>
  </r>
  <r>
    <x v="1895"/>
    <x v="5"/>
    <x v="2"/>
    <n v="86.4"/>
    <n v="259.20000000000005"/>
    <x v="69"/>
    <x v="10"/>
    <d v="2025-03-12T00:00:00"/>
    <x v="3"/>
    <x v="1"/>
    <x v="1"/>
    <x v="2"/>
    <x v="1"/>
    <x v="0"/>
    <x v="52"/>
  </r>
  <r>
    <x v="1896"/>
    <x v="6"/>
    <x v="9"/>
    <n v="105"/>
    <n v="525"/>
    <x v="69"/>
    <x v="10"/>
    <d v="2025-03-14T00:00:00"/>
    <x v="2"/>
    <x v="1"/>
    <x v="1"/>
    <x v="0"/>
    <x v="0"/>
    <x v="0"/>
    <x v="13"/>
  </r>
  <r>
    <x v="1897"/>
    <x v="18"/>
    <x v="0"/>
    <n v="33"/>
    <n v="33"/>
    <x v="69"/>
    <x v="10"/>
    <d v="2025-03-14T00:00:00"/>
    <x v="2"/>
    <x v="1"/>
    <x v="1"/>
    <x v="4"/>
    <x v="0"/>
    <x v="0"/>
    <x v="21"/>
  </r>
  <r>
    <x v="1898"/>
    <x v="6"/>
    <x v="9"/>
    <n v="106.6"/>
    <n v="533"/>
    <x v="69"/>
    <x v="10"/>
    <d v="2025-03-24T00:00:00"/>
    <x v="10"/>
    <x v="2"/>
    <x v="2"/>
    <x v="2"/>
    <x v="0"/>
    <x v="0"/>
    <x v="1"/>
  </r>
  <r>
    <x v="1899"/>
    <x v="10"/>
    <x v="46"/>
    <n v="26.8"/>
    <n v="857.6"/>
    <x v="69"/>
    <x v="10"/>
    <d v="2025-03-12T00:00:00"/>
    <x v="3"/>
    <x v="2"/>
    <x v="2"/>
    <x v="2"/>
    <x v="0"/>
    <x v="0"/>
    <x v="1"/>
  </r>
  <r>
    <x v="1900"/>
    <x v="17"/>
    <x v="9"/>
    <n v="25.8"/>
    <n v="129"/>
    <x v="69"/>
    <x v="10"/>
    <d v="2025-03-11T00:00:00"/>
    <x v="7"/>
    <x v="2"/>
    <x v="2"/>
    <x v="1"/>
    <x v="2"/>
    <x v="0"/>
    <x v="3"/>
  </r>
  <r>
    <x v="1901"/>
    <x v="2"/>
    <x v="2"/>
    <n v="217"/>
    <n v="651"/>
    <x v="69"/>
    <x v="10"/>
    <d v="2025-03-12T00:00:00"/>
    <x v="3"/>
    <x v="2"/>
    <x v="2"/>
    <x v="1"/>
    <x v="1"/>
    <x v="0"/>
    <x v="3"/>
  </r>
  <r>
    <x v="1902"/>
    <x v="2"/>
    <x v="1"/>
    <n v="97.3"/>
    <n v="194.6"/>
    <x v="69"/>
    <x v="10"/>
    <d v="2025-03-12T00:00:00"/>
    <x v="3"/>
    <x v="1"/>
    <x v="1"/>
    <x v="2"/>
    <x v="4"/>
    <x v="0"/>
    <x v="3"/>
  </r>
  <r>
    <x v="1903"/>
    <x v="1"/>
    <x v="0"/>
    <n v="49.8"/>
    <n v="49.8"/>
    <x v="69"/>
    <x v="10"/>
    <d v="2025-03-12T00:00:00"/>
    <x v="3"/>
    <x v="2"/>
    <x v="2"/>
    <x v="0"/>
    <x v="0"/>
    <x v="0"/>
    <x v="3"/>
  </r>
  <r>
    <x v="1904"/>
    <x v="12"/>
    <x v="9"/>
    <n v="32.6"/>
    <n v="163"/>
    <x v="69"/>
    <x v="10"/>
    <d v="2025-03-12T00:00:00"/>
    <x v="3"/>
    <x v="2"/>
    <x v="2"/>
    <x v="0"/>
    <x v="0"/>
    <x v="0"/>
    <x v="3"/>
  </r>
  <r>
    <x v="1905"/>
    <x v="9"/>
    <x v="1"/>
    <n v="40.1"/>
    <n v="80.2"/>
    <x v="69"/>
    <x v="10"/>
    <d v="2025-03-14T00:00:00"/>
    <x v="2"/>
    <x v="1"/>
    <x v="1"/>
    <x v="1"/>
    <x v="2"/>
    <x v="0"/>
    <x v="3"/>
  </r>
  <r>
    <x v="1906"/>
    <x v="10"/>
    <x v="1"/>
    <n v="49.4"/>
    <n v="98.8"/>
    <x v="69"/>
    <x v="10"/>
    <d v="2025-03-13T00:00:00"/>
    <x v="1"/>
    <x v="1"/>
    <x v="1"/>
    <x v="1"/>
    <x v="0"/>
    <x v="0"/>
    <x v="3"/>
  </r>
  <r>
    <x v="1907"/>
    <x v="2"/>
    <x v="0"/>
    <n v="67.3"/>
    <n v="67.3"/>
    <x v="69"/>
    <x v="10"/>
    <d v="2025-03-12T00:00:00"/>
    <x v="3"/>
    <x v="2"/>
    <x v="2"/>
    <x v="0"/>
    <x v="2"/>
    <x v="0"/>
    <x v="3"/>
  </r>
  <r>
    <x v="1908"/>
    <x v="18"/>
    <x v="12"/>
    <n v="44.5"/>
    <n v="178"/>
    <x v="69"/>
    <x v="10"/>
    <d v="2025-03-14T00:00:00"/>
    <x v="2"/>
    <x v="0"/>
    <x v="0"/>
    <x v="1"/>
    <x v="0"/>
    <x v="0"/>
    <x v="3"/>
  </r>
  <r>
    <x v="1909"/>
    <x v="6"/>
    <x v="5"/>
    <n v="111.1"/>
    <n v="1222.0999999999999"/>
    <x v="69"/>
    <x v="10"/>
    <d v="2025-03-12T00:00:00"/>
    <x v="3"/>
    <x v="2"/>
    <x v="2"/>
    <x v="4"/>
    <x v="0"/>
    <x v="0"/>
    <x v="3"/>
  </r>
  <r>
    <x v="1910"/>
    <x v="8"/>
    <x v="2"/>
    <n v="19.7"/>
    <n v="59.099999999999994"/>
    <x v="69"/>
    <x v="10"/>
    <d v="2025-03-12T00:00:00"/>
    <x v="3"/>
    <x v="2"/>
    <x v="2"/>
    <x v="4"/>
    <x v="4"/>
    <x v="0"/>
    <x v="3"/>
  </r>
  <r>
    <x v="1911"/>
    <x v="1"/>
    <x v="0"/>
    <n v="40.299999999999997"/>
    <n v="40.299999999999997"/>
    <x v="69"/>
    <x v="10"/>
    <d v="2025-03-12T00:00:00"/>
    <x v="3"/>
    <x v="3"/>
    <x v="3"/>
    <x v="1"/>
    <x v="0"/>
    <x v="0"/>
    <x v="3"/>
  </r>
  <r>
    <x v="1912"/>
    <x v="6"/>
    <x v="1"/>
    <n v="108.8"/>
    <n v="217.6"/>
    <x v="69"/>
    <x v="10"/>
    <d v="2025-03-16T00:00:00"/>
    <x v="0"/>
    <x v="1"/>
    <x v="1"/>
    <x v="0"/>
    <x v="2"/>
    <x v="0"/>
    <x v="6"/>
  </r>
  <r>
    <x v="1913"/>
    <x v="8"/>
    <x v="2"/>
    <n v="48.2"/>
    <n v="144.60000000000002"/>
    <x v="69"/>
    <x v="10"/>
    <d v="2025-03-16T00:00:00"/>
    <x v="0"/>
    <x v="2"/>
    <x v="2"/>
    <x v="4"/>
    <x v="0"/>
    <x v="0"/>
    <x v="7"/>
  </r>
  <r>
    <x v="1914"/>
    <x v="2"/>
    <x v="2"/>
    <n v="104.7"/>
    <n v="314.10000000000002"/>
    <x v="69"/>
    <x v="10"/>
    <d v="2025-03-13T00:00:00"/>
    <x v="1"/>
    <x v="2"/>
    <x v="2"/>
    <x v="0"/>
    <x v="1"/>
    <x v="0"/>
    <x v="7"/>
  </r>
  <r>
    <x v="1915"/>
    <x v="1"/>
    <x v="1"/>
    <n v="80.599999999999994"/>
    <n v="161.19999999999999"/>
    <x v="69"/>
    <x v="10"/>
    <d v="2025-03-11T00:00:00"/>
    <x v="7"/>
    <x v="2"/>
    <x v="2"/>
    <x v="1"/>
    <x v="0"/>
    <x v="0"/>
    <x v="8"/>
  </r>
  <r>
    <x v="1916"/>
    <x v="6"/>
    <x v="0"/>
    <n v="65.5"/>
    <n v="65.5"/>
    <x v="69"/>
    <x v="10"/>
    <d v="2025-03-13T00:00:00"/>
    <x v="1"/>
    <x v="3"/>
    <x v="3"/>
    <x v="1"/>
    <x v="0"/>
    <x v="0"/>
    <x v="8"/>
  </r>
  <r>
    <x v="1917"/>
    <x v="9"/>
    <x v="2"/>
    <n v="61.4"/>
    <n v="184.2"/>
    <x v="69"/>
    <x v="10"/>
    <d v="2025-03-13T00:00:00"/>
    <x v="1"/>
    <x v="2"/>
    <x v="2"/>
    <x v="4"/>
    <x v="2"/>
    <x v="0"/>
    <x v="8"/>
  </r>
  <r>
    <x v="1918"/>
    <x v="0"/>
    <x v="0"/>
    <n v="12.5"/>
    <n v="12.5"/>
    <x v="70"/>
    <x v="10"/>
    <d v="2025-03-15T00:00:00"/>
    <x v="2"/>
    <x v="2"/>
    <x v="2"/>
    <x v="0"/>
    <x v="1"/>
    <x v="0"/>
    <x v="8"/>
  </r>
  <r>
    <x v="1919"/>
    <x v="4"/>
    <x v="12"/>
    <n v="35.1"/>
    <n v="140.4"/>
    <x v="70"/>
    <x v="10"/>
    <d v="2025-03-13T00:00:00"/>
    <x v="3"/>
    <x v="1"/>
    <x v="1"/>
    <x v="2"/>
    <x v="1"/>
    <x v="0"/>
    <x v="17"/>
  </r>
  <r>
    <x v="1920"/>
    <x v="5"/>
    <x v="1"/>
    <n v="55.7"/>
    <n v="111.4"/>
    <x v="70"/>
    <x v="10"/>
    <d v="2025-03-13T00:00:00"/>
    <x v="3"/>
    <x v="1"/>
    <x v="1"/>
    <x v="0"/>
    <x v="1"/>
    <x v="0"/>
    <x v="26"/>
  </r>
  <r>
    <x v="1921"/>
    <x v="7"/>
    <x v="1"/>
    <n v="57.7"/>
    <n v="115.4"/>
    <x v="70"/>
    <x v="10"/>
    <d v="2025-03-14T00:00:00"/>
    <x v="1"/>
    <x v="1"/>
    <x v="1"/>
    <x v="4"/>
    <x v="1"/>
    <x v="0"/>
    <x v="9"/>
  </r>
  <r>
    <x v="1922"/>
    <x v="2"/>
    <x v="13"/>
    <n v="85.7"/>
    <n v="514.20000000000005"/>
    <x v="70"/>
    <x v="10"/>
    <d v="2025-03-13T00:00:00"/>
    <x v="3"/>
    <x v="1"/>
    <x v="1"/>
    <x v="3"/>
    <x v="2"/>
    <x v="0"/>
    <x v="9"/>
  </r>
  <r>
    <x v="1923"/>
    <x v="2"/>
    <x v="2"/>
    <n v="86.9"/>
    <n v="260.70000000000005"/>
    <x v="70"/>
    <x v="10"/>
    <d v="2025-03-14T00:00:00"/>
    <x v="1"/>
    <x v="2"/>
    <x v="2"/>
    <x v="1"/>
    <x v="0"/>
    <x v="0"/>
    <x v="11"/>
  </r>
  <r>
    <x v="1924"/>
    <x v="18"/>
    <x v="1"/>
    <n v="46.4"/>
    <n v="92.8"/>
    <x v="70"/>
    <x v="10"/>
    <d v="2025-03-15T00:00:00"/>
    <x v="2"/>
    <x v="2"/>
    <x v="2"/>
    <x v="4"/>
    <x v="0"/>
    <x v="0"/>
    <x v="11"/>
  </r>
  <r>
    <x v="1925"/>
    <x v="5"/>
    <x v="2"/>
    <n v="25.4"/>
    <n v="76.199999999999989"/>
    <x v="70"/>
    <x v="10"/>
    <d v="2025-03-12T00:00:00"/>
    <x v="7"/>
    <x v="2"/>
    <x v="2"/>
    <x v="2"/>
    <x v="2"/>
    <x v="0"/>
    <x v="18"/>
  </r>
  <r>
    <x v="1926"/>
    <x v="10"/>
    <x v="2"/>
    <n v="47.8"/>
    <n v="143.39999999999998"/>
    <x v="70"/>
    <x v="10"/>
    <d v="2025-03-12T00:00:00"/>
    <x v="7"/>
    <x v="0"/>
    <x v="0"/>
    <x v="2"/>
    <x v="2"/>
    <x v="0"/>
    <x v="19"/>
  </r>
  <r>
    <x v="1927"/>
    <x v="8"/>
    <x v="10"/>
    <n v="18.399999999999999"/>
    <n v="349.59999999999997"/>
    <x v="70"/>
    <x v="10"/>
    <d v="2025-03-14T00:00:00"/>
    <x v="1"/>
    <x v="3"/>
    <x v="3"/>
    <x v="2"/>
    <x v="0"/>
    <x v="0"/>
    <x v="20"/>
  </r>
  <r>
    <x v="1928"/>
    <x v="12"/>
    <x v="2"/>
    <n v="65.5"/>
    <n v="196.5"/>
    <x v="70"/>
    <x v="10"/>
    <d v="2025-03-20T00:00:00"/>
    <x v="9"/>
    <x v="2"/>
    <x v="2"/>
    <x v="0"/>
    <x v="0"/>
    <x v="0"/>
    <x v="21"/>
  </r>
  <r>
    <x v="1929"/>
    <x v="10"/>
    <x v="1"/>
    <n v="50.6"/>
    <n v="101.2"/>
    <x v="70"/>
    <x v="10"/>
    <d v="2025-03-15T00:00:00"/>
    <x v="2"/>
    <x v="1"/>
    <x v="1"/>
    <x v="2"/>
    <x v="4"/>
    <x v="0"/>
    <x v="21"/>
  </r>
  <r>
    <x v="1930"/>
    <x v="3"/>
    <x v="9"/>
    <n v="69"/>
    <n v="345"/>
    <x v="70"/>
    <x v="10"/>
    <d v="2025-03-16T00:00:00"/>
    <x v="5"/>
    <x v="1"/>
    <x v="1"/>
    <x v="3"/>
    <x v="0"/>
    <x v="0"/>
    <x v="21"/>
  </r>
  <r>
    <x v="1931"/>
    <x v="9"/>
    <x v="8"/>
    <n v="51.1"/>
    <n v="408.8"/>
    <x v="70"/>
    <x v="10"/>
    <d v="2025-03-14T00:00:00"/>
    <x v="1"/>
    <x v="2"/>
    <x v="2"/>
    <x v="0"/>
    <x v="0"/>
    <x v="0"/>
    <x v="1"/>
  </r>
  <r>
    <x v="1932"/>
    <x v="9"/>
    <x v="0"/>
    <n v="36.1"/>
    <n v="36.1"/>
    <x v="70"/>
    <x v="10"/>
    <d v="2025-03-13T00:00:00"/>
    <x v="3"/>
    <x v="2"/>
    <x v="2"/>
    <x v="0"/>
    <x v="2"/>
    <x v="0"/>
    <x v="34"/>
  </r>
  <r>
    <x v="1933"/>
    <x v="14"/>
    <x v="0"/>
    <n v="18.7"/>
    <n v="18.7"/>
    <x v="70"/>
    <x v="10"/>
    <d v="2025-03-13T00:00:00"/>
    <x v="3"/>
    <x v="1"/>
    <x v="1"/>
    <x v="0"/>
    <x v="0"/>
    <x v="0"/>
    <x v="3"/>
  </r>
  <r>
    <x v="1934"/>
    <x v="17"/>
    <x v="0"/>
    <n v="30.1"/>
    <n v="30.1"/>
    <x v="70"/>
    <x v="10"/>
    <d v="2025-03-15T00:00:00"/>
    <x v="2"/>
    <x v="2"/>
    <x v="2"/>
    <x v="3"/>
    <x v="1"/>
    <x v="0"/>
    <x v="3"/>
  </r>
  <r>
    <x v="1935"/>
    <x v="8"/>
    <x v="0"/>
    <n v="16.3"/>
    <n v="16.3"/>
    <x v="70"/>
    <x v="10"/>
    <d v="2025-03-13T00:00:00"/>
    <x v="3"/>
    <x v="1"/>
    <x v="1"/>
    <x v="3"/>
    <x v="0"/>
    <x v="0"/>
    <x v="3"/>
  </r>
  <r>
    <x v="1936"/>
    <x v="1"/>
    <x v="2"/>
    <n v="63.8"/>
    <n v="191.39999999999998"/>
    <x v="70"/>
    <x v="10"/>
    <d v="2025-03-17T00:00:00"/>
    <x v="0"/>
    <x v="2"/>
    <x v="2"/>
    <x v="2"/>
    <x v="1"/>
    <x v="0"/>
    <x v="3"/>
  </r>
  <r>
    <x v="1937"/>
    <x v="1"/>
    <x v="3"/>
    <n v="73.900000000000006"/>
    <n v="517.30000000000007"/>
    <x v="70"/>
    <x v="10"/>
    <d v="2025-03-12T00:00:00"/>
    <x v="7"/>
    <x v="2"/>
    <x v="2"/>
    <x v="0"/>
    <x v="1"/>
    <x v="0"/>
    <x v="3"/>
  </r>
  <r>
    <x v="1938"/>
    <x v="0"/>
    <x v="1"/>
    <n v="20.2"/>
    <n v="40.4"/>
    <x v="70"/>
    <x v="10"/>
    <d v="2025-03-13T00:00:00"/>
    <x v="3"/>
    <x v="1"/>
    <x v="1"/>
    <x v="0"/>
    <x v="1"/>
    <x v="0"/>
    <x v="3"/>
  </r>
  <r>
    <x v="1939"/>
    <x v="11"/>
    <x v="5"/>
    <n v="29.5"/>
    <n v="324.5"/>
    <x v="70"/>
    <x v="10"/>
    <d v="2025-03-13T00:00:00"/>
    <x v="3"/>
    <x v="1"/>
    <x v="1"/>
    <x v="0"/>
    <x v="0"/>
    <x v="0"/>
    <x v="3"/>
  </r>
  <r>
    <x v="1940"/>
    <x v="15"/>
    <x v="3"/>
    <n v="37.9"/>
    <n v="265.3"/>
    <x v="70"/>
    <x v="10"/>
    <d v="2025-03-13T00:00:00"/>
    <x v="3"/>
    <x v="1"/>
    <x v="1"/>
    <x v="1"/>
    <x v="0"/>
    <x v="0"/>
    <x v="3"/>
  </r>
  <r>
    <x v="1941"/>
    <x v="2"/>
    <x v="0"/>
    <n v="56.5"/>
    <n v="56.5"/>
    <x v="70"/>
    <x v="10"/>
    <d v="2025-03-13T00:00:00"/>
    <x v="3"/>
    <x v="2"/>
    <x v="2"/>
    <x v="2"/>
    <x v="1"/>
    <x v="0"/>
    <x v="3"/>
  </r>
  <r>
    <x v="1942"/>
    <x v="2"/>
    <x v="1"/>
    <n v="66.900000000000006"/>
    <n v="133.80000000000001"/>
    <x v="70"/>
    <x v="10"/>
    <d v="2025-03-18T00:00:00"/>
    <x v="4"/>
    <x v="1"/>
    <x v="1"/>
    <x v="1"/>
    <x v="4"/>
    <x v="0"/>
    <x v="25"/>
  </r>
  <r>
    <x v="1943"/>
    <x v="2"/>
    <x v="9"/>
    <n v="51.9"/>
    <n v="259.5"/>
    <x v="70"/>
    <x v="10"/>
    <d v="2025-03-15T00:00:00"/>
    <x v="2"/>
    <x v="1"/>
    <x v="1"/>
    <x v="1"/>
    <x v="0"/>
    <x v="0"/>
    <x v="7"/>
  </r>
  <r>
    <x v="1944"/>
    <x v="2"/>
    <x v="1"/>
    <n v="75.599999999999994"/>
    <n v="151.19999999999999"/>
    <x v="70"/>
    <x v="10"/>
    <d v="2025-03-15T00:00:00"/>
    <x v="2"/>
    <x v="1"/>
    <x v="1"/>
    <x v="1"/>
    <x v="0"/>
    <x v="0"/>
    <x v="8"/>
  </r>
  <r>
    <x v="1945"/>
    <x v="12"/>
    <x v="13"/>
    <n v="47.3"/>
    <n v="283.79999999999995"/>
    <x v="70"/>
    <x v="10"/>
    <d v="2025-03-23T00:00:00"/>
    <x v="11"/>
    <x v="1"/>
    <x v="1"/>
    <x v="0"/>
    <x v="0"/>
    <x v="0"/>
    <x v="8"/>
  </r>
  <r>
    <x v="1946"/>
    <x v="4"/>
    <x v="0"/>
    <n v="20.6"/>
    <n v="20.6"/>
    <x v="70"/>
    <x v="10"/>
    <d v="2025-03-13T00:00:00"/>
    <x v="3"/>
    <x v="0"/>
    <x v="0"/>
    <x v="0"/>
    <x v="1"/>
    <x v="0"/>
    <x v="8"/>
  </r>
  <r>
    <x v="1947"/>
    <x v="6"/>
    <x v="2"/>
    <n v="49.7"/>
    <n v="149.10000000000002"/>
    <x v="70"/>
    <x v="10"/>
    <d v="2025-03-14T00:00:00"/>
    <x v="1"/>
    <x v="1"/>
    <x v="1"/>
    <x v="0"/>
    <x v="1"/>
    <x v="0"/>
    <x v="8"/>
  </r>
  <r>
    <x v="1948"/>
    <x v="3"/>
    <x v="0"/>
    <n v="37.9"/>
    <n v="37.9"/>
    <x v="70"/>
    <x v="10"/>
    <d v="2025-03-14T00:00:00"/>
    <x v="1"/>
    <x v="2"/>
    <x v="2"/>
    <x v="0"/>
    <x v="0"/>
    <x v="0"/>
    <x v="8"/>
  </r>
  <r>
    <x v="1949"/>
    <x v="13"/>
    <x v="20"/>
    <n v="32"/>
    <n v="480"/>
    <x v="70"/>
    <x v="10"/>
    <d v="2025-03-14T00:00:00"/>
    <x v="1"/>
    <x v="2"/>
    <x v="2"/>
    <x v="4"/>
    <x v="0"/>
    <x v="0"/>
    <x v="11"/>
  </r>
  <r>
    <x v="1950"/>
    <x v="10"/>
    <x v="16"/>
    <n v="38.5"/>
    <n v="693"/>
    <x v="71"/>
    <x v="10"/>
    <d v="2025-03-14T00:00:00"/>
    <x v="3"/>
    <x v="1"/>
    <x v="1"/>
    <x v="0"/>
    <x v="2"/>
    <x v="0"/>
    <x v="11"/>
  </r>
  <r>
    <x v="1951"/>
    <x v="0"/>
    <x v="12"/>
    <n v="11.7"/>
    <n v="46.8"/>
    <x v="71"/>
    <x v="10"/>
    <d v="2025-03-15T00:00:00"/>
    <x v="1"/>
    <x v="2"/>
    <x v="2"/>
    <x v="1"/>
    <x v="0"/>
    <x v="0"/>
    <x v="20"/>
  </r>
  <r>
    <x v="1952"/>
    <x v="3"/>
    <x v="13"/>
    <n v="83.8"/>
    <n v="502.79999999999995"/>
    <x v="71"/>
    <x v="10"/>
    <d v="2025-03-14T00:00:00"/>
    <x v="3"/>
    <x v="1"/>
    <x v="1"/>
    <x v="0"/>
    <x v="0"/>
    <x v="0"/>
    <x v="21"/>
  </r>
  <r>
    <x v="1953"/>
    <x v="0"/>
    <x v="3"/>
    <n v="14"/>
    <n v="98"/>
    <x v="71"/>
    <x v="10"/>
    <d v="2025-03-16T00:00:00"/>
    <x v="2"/>
    <x v="1"/>
    <x v="1"/>
    <x v="0"/>
    <x v="1"/>
    <x v="0"/>
    <x v="22"/>
  </r>
  <r>
    <x v="1954"/>
    <x v="16"/>
    <x v="12"/>
    <n v="77.3"/>
    <n v="309.2"/>
    <x v="71"/>
    <x v="10"/>
    <d v="2025-03-15T00:00:00"/>
    <x v="1"/>
    <x v="2"/>
    <x v="2"/>
    <x v="4"/>
    <x v="2"/>
    <x v="0"/>
    <x v="3"/>
  </r>
  <r>
    <x v="1955"/>
    <x v="2"/>
    <x v="1"/>
    <n v="76.900000000000006"/>
    <n v="153.80000000000001"/>
    <x v="71"/>
    <x v="10"/>
    <d v="2025-03-17T00:00:00"/>
    <x v="5"/>
    <x v="2"/>
    <x v="2"/>
    <x v="0"/>
    <x v="1"/>
    <x v="0"/>
    <x v="3"/>
  </r>
  <r>
    <x v="1956"/>
    <x v="1"/>
    <x v="0"/>
    <n v="48"/>
    <n v="48"/>
    <x v="71"/>
    <x v="10"/>
    <d v="2025-03-15T00:00:00"/>
    <x v="1"/>
    <x v="2"/>
    <x v="2"/>
    <x v="1"/>
    <x v="2"/>
    <x v="0"/>
    <x v="3"/>
  </r>
  <r>
    <x v="1957"/>
    <x v="2"/>
    <x v="0"/>
    <n v="94.5"/>
    <n v="94.5"/>
    <x v="71"/>
    <x v="10"/>
    <d v="2025-03-16T00:00:00"/>
    <x v="2"/>
    <x v="1"/>
    <x v="1"/>
    <x v="1"/>
    <x v="1"/>
    <x v="0"/>
    <x v="3"/>
  </r>
  <r>
    <x v="1958"/>
    <x v="10"/>
    <x v="2"/>
    <n v="58.4"/>
    <n v="175.2"/>
    <x v="71"/>
    <x v="10"/>
    <d v="2025-03-15T00:00:00"/>
    <x v="1"/>
    <x v="2"/>
    <x v="2"/>
    <x v="1"/>
    <x v="2"/>
    <x v="0"/>
    <x v="3"/>
  </r>
  <r>
    <x v="1959"/>
    <x v="7"/>
    <x v="15"/>
    <n v="42.2"/>
    <n v="548.6"/>
    <x v="71"/>
    <x v="10"/>
    <d v="2025-03-13T00:00:00"/>
    <x v="7"/>
    <x v="1"/>
    <x v="1"/>
    <x v="0"/>
    <x v="0"/>
    <x v="0"/>
    <x v="25"/>
  </r>
  <r>
    <x v="1960"/>
    <x v="6"/>
    <x v="1"/>
    <n v="152.19999999999999"/>
    <n v="304.39999999999998"/>
    <x v="71"/>
    <x v="10"/>
    <d v="2025-03-14T00:00:00"/>
    <x v="3"/>
    <x v="1"/>
    <x v="1"/>
    <x v="4"/>
    <x v="1"/>
    <x v="0"/>
    <x v="25"/>
  </r>
  <r>
    <x v="1961"/>
    <x v="6"/>
    <x v="25"/>
    <n v="72"/>
    <n v="1728"/>
    <x v="71"/>
    <x v="10"/>
    <d v="2025-03-14T00:00:00"/>
    <x v="3"/>
    <x v="1"/>
    <x v="1"/>
    <x v="0"/>
    <x v="1"/>
    <x v="0"/>
    <x v="6"/>
  </r>
  <r>
    <x v="1962"/>
    <x v="1"/>
    <x v="44"/>
    <n v="70.900000000000006"/>
    <n v="1630.7"/>
    <x v="71"/>
    <x v="10"/>
    <d v="2025-03-14T00:00:00"/>
    <x v="3"/>
    <x v="2"/>
    <x v="2"/>
    <x v="2"/>
    <x v="0"/>
    <x v="0"/>
    <x v="8"/>
  </r>
  <r>
    <x v="1963"/>
    <x v="2"/>
    <x v="1"/>
    <n v="53.7"/>
    <n v="107.4"/>
    <x v="71"/>
    <x v="10"/>
    <d v="2025-03-14T00:00:00"/>
    <x v="3"/>
    <x v="1"/>
    <x v="1"/>
    <x v="2"/>
    <x v="2"/>
    <x v="0"/>
    <x v="8"/>
  </r>
  <r>
    <x v="1964"/>
    <x v="9"/>
    <x v="12"/>
    <n v="42.9"/>
    <n v="171.6"/>
    <x v="71"/>
    <x v="10"/>
    <d v="2025-03-14T00:00:00"/>
    <x v="3"/>
    <x v="2"/>
    <x v="2"/>
    <x v="2"/>
    <x v="4"/>
    <x v="0"/>
    <x v="9"/>
  </r>
  <r>
    <x v="1965"/>
    <x v="2"/>
    <x v="3"/>
    <n v="107.5"/>
    <n v="752.5"/>
    <x v="71"/>
    <x v="10"/>
    <d v="2025-03-14T00:00:00"/>
    <x v="3"/>
    <x v="1"/>
    <x v="1"/>
    <x v="1"/>
    <x v="0"/>
    <x v="0"/>
    <x v="11"/>
  </r>
  <r>
    <x v="1966"/>
    <x v="17"/>
    <x v="27"/>
    <n v="21.5"/>
    <n v="344"/>
    <x v="71"/>
    <x v="10"/>
    <d v="2025-03-14T00:00:00"/>
    <x v="3"/>
    <x v="1"/>
    <x v="1"/>
    <x v="1"/>
    <x v="1"/>
    <x v="0"/>
    <x v="32"/>
  </r>
  <r>
    <x v="1967"/>
    <x v="3"/>
    <x v="9"/>
    <n v="85.3"/>
    <n v="426.5"/>
    <x v="71"/>
    <x v="10"/>
    <d v="2025-03-15T00:00:00"/>
    <x v="1"/>
    <x v="2"/>
    <x v="2"/>
    <x v="3"/>
    <x v="0"/>
    <x v="0"/>
    <x v="18"/>
  </r>
  <r>
    <x v="1968"/>
    <x v="7"/>
    <x v="9"/>
    <n v="80.8"/>
    <n v="404"/>
    <x v="71"/>
    <x v="10"/>
    <d v="2025-03-21T00:00:00"/>
    <x v="9"/>
    <x v="3"/>
    <x v="3"/>
    <x v="1"/>
    <x v="1"/>
    <x v="0"/>
    <x v="19"/>
  </r>
  <r>
    <x v="1969"/>
    <x v="2"/>
    <x v="2"/>
    <n v="123.1"/>
    <n v="369.29999999999995"/>
    <x v="71"/>
    <x v="10"/>
    <d v="2025-03-15T00:00:00"/>
    <x v="1"/>
    <x v="0"/>
    <x v="0"/>
    <x v="2"/>
    <x v="0"/>
    <x v="0"/>
    <x v="21"/>
  </r>
  <r>
    <x v="1970"/>
    <x v="8"/>
    <x v="1"/>
    <n v="36.9"/>
    <n v="73.8"/>
    <x v="71"/>
    <x v="10"/>
    <d v="2025-03-15T00:00:00"/>
    <x v="1"/>
    <x v="2"/>
    <x v="2"/>
    <x v="2"/>
    <x v="4"/>
    <x v="0"/>
    <x v="51"/>
  </r>
  <r>
    <x v="1971"/>
    <x v="11"/>
    <x v="9"/>
    <n v="40"/>
    <n v="200"/>
    <x v="71"/>
    <x v="10"/>
    <d v="2025-03-14T00:00:00"/>
    <x v="3"/>
    <x v="1"/>
    <x v="1"/>
    <x v="0"/>
    <x v="0"/>
    <x v="0"/>
    <x v="1"/>
  </r>
  <r>
    <x v="1972"/>
    <x v="6"/>
    <x v="2"/>
    <n v="55.5"/>
    <n v="166.5"/>
    <x v="71"/>
    <x v="10"/>
    <d v="2025-03-14T00:00:00"/>
    <x v="3"/>
    <x v="1"/>
    <x v="1"/>
    <x v="4"/>
    <x v="2"/>
    <x v="0"/>
    <x v="1"/>
  </r>
  <r>
    <x v="1973"/>
    <x v="0"/>
    <x v="12"/>
    <n v="20.5"/>
    <n v="82"/>
    <x v="71"/>
    <x v="10"/>
    <d v="2025-03-17T00:00:00"/>
    <x v="5"/>
    <x v="2"/>
    <x v="2"/>
    <x v="4"/>
    <x v="0"/>
    <x v="0"/>
    <x v="1"/>
  </r>
  <r>
    <x v="1974"/>
    <x v="18"/>
    <x v="12"/>
    <n v="50.1"/>
    <n v="200.4"/>
    <x v="71"/>
    <x v="10"/>
    <d v="2025-03-14T00:00:00"/>
    <x v="3"/>
    <x v="2"/>
    <x v="2"/>
    <x v="4"/>
    <x v="0"/>
    <x v="0"/>
    <x v="1"/>
  </r>
  <r>
    <x v="1975"/>
    <x v="9"/>
    <x v="0"/>
    <n v="35.9"/>
    <n v="35.9"/>
    <x v="71"/>
    <x v="10"/>
    <d v="2025-03-15T00:00:00"/>
    <x v="1"/>
    <x v="1"/>
    <x v="1"/>
    <x v="1"/>
    <x v="2"/>
    <x v="0"/>
    <x v="1"/>
  </r>
  <r>
    <x v="1976"/>
    <x v="13"/>
    <x v="12"/>
    <n v="29.4"/>
    <n v="117.6"/>
    <x v="72"/>
    <x v="10"/>
    <d v="2025-03-15T00:00:00"/>
    <x v="3"/>
    <x v="1"/>
    <x v="1"/>
    <x v="2"/>
    <x v="2"/>
    <x v="0"/>
    <x v="33"/>
  </r>
  <r>
    <x v="1977"/>
    <x v="8"/>
    <x v="9"/>
    <n v="29.1"/>
    <n v="145.5"/>
    <x v="72"/>
    <x v="10"/>
    <d v="2025-03-22T00:00:00"/>
    <x v="9"/>
    <x v="3"/>
    <x v="3"/>
    <x v="2"/>
    <x v="1"/>
    <x v="0"/>
    <x v="33"/>
  </r>
  <r>
    <x v="1978"/>
    <x v="8"/>
    <x v="2"/>
    <n v="33.5"/>
    <n v="100.5"/>
    <x v="72"/>
    <x v="10"/>
    <d v="2025-03-26T00:00:00"/>
    <x v="13"/>
    <x v="1"/>
    <x v="1"/>
    <x v="0"/>
    <x v="2"/>
    <x v="0"/>
    <x v="22"/>
  </r>
  <r>
    <x v="1979"/>
    <x v="4"/>
    <x v="7"/>
    <n v="36"/>
    <n v="360"/>
    <x v="72"/>
    <x v="10"/>
    <d v="2025-03-14T00:00:00"/>
    <x v="7"/>
    <x v="1"/>
    <x v="1"/>
    <x v="3"/>
    <x v="2"/>
    <x v="0"/>
    <x v="3"/>
  </r>
  <r>
    <x v="1980"/>
    <x v="16"/>
    <x v="2"/>
    <n v="57.3"/>
    <n v="171.89999999999998"/>
    <x v="72"/>
    <x v="10"/>
    <d v="2025-03-18T00:00:00"/>
    <x v="5"/>
    <x v="2"/>
    <x v="2"/>
    <x v="0"/>
    <x v="2"/>
    <x v="0"/>
    <x v="3"/>
  </r>
  <r>
    <x v="1981"/>
    <x v="1"/>
    <x v="0"/>
    <n v="81.400000000000006"/>
    <n v="81.400000000000006"/>
    <x v="72"/>
    <x v="10"/>
    <d v="2025-03-15T00:00:00"/>
    <x v="3"/>
    <x v="2"/>
    <x v="2"/>
    <x v="2"/>
    <x v="2"/>
    <x v="0"/>
    <x v="3"/>
  </r>
  <r>
    <x v="1982"/>
    <x v="10"/>
    <x v="1"/>
    <n v="35.299999999999997"/>
    <n v="70.599999999999994"/>
    <x v="72"/>
    <x v="10"/>
    <d v="2025-03-18T00:00:00"/>
    <x v="5"/>
    <x v="1"/>
    <x v="1"/>
    <x v="0"/>
    <x v="2"/>
    <x v="0"/>
    <x v="3"/>
  </r>
  <r>
    <x v="1983"/>
    <x v="3"/>
    <x v="0"/>
    <n v="36.1"/>
    <n v="36.1"/>
    <x v="72"/>
    <x v="10"/>
    <d v="2025-03-15T00:00:00"/>
    <x v="3"/>
    <x v="2"/>
    <x v="2"/>
    <x v="4"/>
    <x v="0"/>
    <x v="0"/>
    <x v="3"/>
  </r>
  <r>
    <x v="1984"/>
    <x v="1"/>
    <x v="1"/>
    <n v="36.700000000000003"/>
    <n v="73.400000000000006"/>
    <x v="72"/>
    <x v="10"/>
    <d v="2025-03-16T00:00:00"/>
    <x v="1"/>
    <x v="2"/>
    <x v="2"/>
    <x v="0"/>
    <x v="2"/>
    <x v="0"/>
    <x v="3"/>
  </r>
  <r>
    <x v="1985"/>
    <x v="10"/>
    <x v="0"/>
    <n v="20.9"/>
    <n v="20.9"/>
    <x v="72"/>
    <x v="10"/>
    <d v="2025-03-16T00:00:00"/>
    <x v="1"/>
    <x v="2"/>
    <x v="2"/>
    <x v="0"/>
    <x v="4"/>
    <x v="0"/>
    <x v="3"/>
  </r>
  <r>
    <x v="1986"/>
    <x v="12"/>
    <x v="2"/>
    <n v="58.8"/>
    <n v="176.39999999999998"/>
    <x v="72"/>
    <x v="10"/>
    <d v="2025-03-18T00:00:00"/>
    <x v="5"/>
    <x v="1"/>
    <x v="1"/>
    <x v="0"/>
    <x v="2"/>
    <x v="0"/>
    <x v="25"/>
  </r>
  <r>
    <x v="1987"/>
    <x v="2"/>
    <x v="2"/>
    <n v="97.6"/>
    <n v="292.79999999999995"/>
    <x v="73"/>
    <x v="10"/>
    <d v="2025-03-17T00:00:00"/>
    <x v="1"/>
    <x v="0"/>
    <x v="0"/>
    <x v="0"/>
    <x v="0"/>
    <x v="0"/>
    <x v="6"/>
  </r>
  <r>
    <x v="1988"/>
    <x v="1"/>
    <x v="1"/>
    <n v="58.7"/>
    <n v="117.4"/>
    <x v="73"/>
    <x v="10"/>
    <d v="2025-03-18T00:00:00"/>
    <x v="2"/>
    <x v="2"/>
    <x v="2"/>
    <x v="0"/>
    <x v="1"/>
    <x v="0"/>
    <x v="6"/>
  </r>
  <r>
    <x v="1989"/>
    <x v="6"/>
    <x v="9"/>
    <n v="71.900000000000006"/>
    <n v="359.5"/>
    <x v="73"/>
    <x v="10"/>
    <d v="2025-03-16T00:00:00"/>
    <x v="3"/>
    <x v="0"/>
    <x v="0"/>
    <x v="0"/>
    <x v="1"/>
    <x v="0"/>
    <x v="6"/>
  </r>
  <r>
    <x v="1990"/>
    <x v="1"/>
    <x v="1"/>
    <n v="62.4"/>
    <n v="124.8"/>
    <x v="73"/>
    <x v="10"/>
    <d v="2025-03-17T00:00:00"/>
    <x v="1"/>
    <x v="0"/>
    <x v="0"/>
    <x v="0"/>
    <x v="1"/>
    <x v="0"/>
    <x v="8"/>
  </r>
  <r>
    <x v="1991"/>
    <x v="6"/>
    <x v="27"/>
    <n v="53.8"/>
    <n v="860.8"/>
    <x v="73"/>
    <x v="10"/>
    <d v="2025-03-16T00:00:00"/>
    <x v="3"/>
    <x v="2"/>
    <x v="2"/>
    <x v="1"/>
    <x v="0"/>
    <x v="0"/>
    <x v="8"/>
  </r>
  <r>
    <x v="1992"/>
    <x v="9"/>
    <x v="0"/>
    <n v="43.8"/>
    <n v="43.8"/>
    <x v="73"/>
    <x v="10"/>
    <d v="2025-03-22T00:00:00"/>
    <x v="6"/>
    <x v="2"/>
    <x v="2"/>
    <x v="0"/>
    <x v="2"/>
    <x v="0"/>
    <x v="8"/>
  </r>
  <r>
    <x v="1993"/>
    <x v="5"/>
    <x v="2"/>
    <n v="53.6"/>
    <n v="160.80000000000001"/>
    <x v="73"/>
    <x v="10"/>
    <d v="2025-03-16T00:00:00"/>
    <x v="3"/>
    <x v="1"/>
    <x v="1"/>
    <x v="3"/>
    <x v="0"/>
    <x v="0"/>
    <x v="8"/>
  </r>
  <r>
    <x v="1994"/>
    <x v="12"/>
    <x v="1"/>
    <n v="84.3"/>
    <n v="168.6"/>
    <x v="73"/>
    <x v="10"/>
    <d v="2025-03-18T00:00:00"/>
    <x v="2"/>
    <x v="1"/>
    <x v="1"/>
    <x v="4"/>
    <x v="1"/>
    <x v="0"/>
    <x v="8"/>
  </r>
  <r>
    <x v="1995"/>
    <x v="6"/>
    <x v="11"/>
    <n v="117.9"/>
    <n v="1061.1000000000001"/>
    <x v="73"/>
    <x v="10"/>
    <d v="2025-03-16T00:00:00"/>
    <x v="3"/>
    <x v="2"/>
    <x v="2"/>
    <x v="1"/>
    <x v="2"/>
    <x v="0"/>
    <x v="8"/>
  </r>
  <r>
    <x v="1996"/>
    <x v="4"/>
    <x v="8"/>
    <n v="30"/>
    <n v="240"/>
    <x v="73"/>
    <x v="10"/>
    <d v="2025-03-16T00:00:00"/>
    <x v="3"/>
    <x v="2"/>
    <x v="2"/>
    <x v="1"/>
    <x v="0"/>
    <x v="0"/>
    <x v="26"/>
  </r>
  <r>
    <x v="1997"/>
    <x v="14"/>
    <x v="2"/>
    <n v="37.299999999999997"/>
    <n v="111.89999999999999"/>
    <x v="73"/>
    <x v="10"/>
    <d v="2025-03-16T00:00:00"/>
    <x v="3"/>
    <x v="1"/>
    <x v="1"/>
    <x v="2"/>
    <x v="0"/>
    <x v="0"/>
    <x v="9"/>
  </r>
  <r>
    <x v="1998"/>
    <x v="4"/>
    <x v="11"/>
    <n v="25.1"/>
    <n v="225.9"/>
    <x v="73"/>
    <x v="10"/>
    <d v="2025-03-17T00:00:00"/>
    <x v="1"/>
    <x v="1"/>
    <x v="1"/>
    <x v="1"/>
    <x v="2"/>
    <x v="0"/>
    <x v="11"/>
  </r>
  <r>
    <x v="1999"/>
    <x v="8"/>
    <x v="5"/>
    <n v="36"/>
    <n v="396"/>
    <x v="73"/>
    <x v="10"/>
    <d v="2025-03-25T00:00:00"/>
    <x v="14"/>
    <x v="1"/>
    <x v="1"/>
    <x v="1"/>
    <x v="0"/>
    <x v="0"/>
    <x v="18"/>
  </r>
  <r>
    <x v="2000"/>
    <x v="16"/>
    <x v="2"/>
    <n v="48.5"/>
    <n v="145.5"/>
    <x v="73"/>
    <x v="10"/>
    <d v="2025-03-19T00:00:00"/>
    <x v="5"/>
    <x v="2"/>
    <x v="2"/>
    <x v="1"/>
    <x v="0"/>
    <x v="0"/>
    <x v="19"/>
  </r>
  <r>
    <x v="2001"/>
    <x v="17"/>
    <x v="13"/>
    <n v="21.1"/>
    <n v="126.60000000000001"/>
    <x v="73"/>
    <x v="10"/>
    <d v="2025-03-16T00:00:00"/>
    <x v="3"/>
    <x v="1"/>
    <x v="1"/>
    <x v="1"/>
    <x v="2"/>
    <x v="0"/>
    <x v="21"/>
  </r>
  <r>
    <x v="2002"/>
    <x v="15"/>
    <x v="21"/>
    <n v="43.2"/>
    <n v="604.80000000000007"/>
    <x v="73"/>
    <x v="10"/>
    <d v="2025-03-16T00:00:00"/>
    <x v="3"/>
    <x v="3"/>
    <x v="3"/>
    <x v="0"/>
    <x v="1"/>
    <x v="0"/>
    <x v="21"/>
  </r>
  <r>
    <x v="2003"/>
    <x v="9"/>
    <x v="1"/>
    <n v="21.1"/>
    <n v="42.2"/>
    <x v="73"/>
    <x v="10"/>
    <d v="2025-03-16T00:00:00"/>
    <x v="3"/>
    <x v="0"/>
    <x v="0"/>
    <x v="3"/>
    <x v="1"/>
    <x v="0"/>
    <x v="21"/>
  </r>
  <r>
    <x v="2004"/>
    <x v="6"/>
    <x v="12"/>
    <n v="41.3"/>
    <n v="165.2"/>
    <x v="73"/>
    <x v="10"/>
    <d v="2025-03-17T00:00:00"/>
    <x v="1"/>
    <x v="2"/>
    <x v="2"/>
    <x v="3"/>
    <x v="2"/>
    <x v="0"/>
    <x v="1"/>
  </r>
  <r>
    <x v="2005"/>
    <x v="8"/>
    <x v="1"/>
    <n v="15.3"/>
    <n v="30.6"/>
    <x v="73"/>
    <x v="10"/>
    <d v="2025-03-18T00:00:00"/>
    <x v="2"/>
    <x v="0"/>
    <x v="0"/>
    <x v="2"/>
    <x v="2"/>
    <x v="0"/>
    <x v="1"/>
  </r>
  <r>
    <x v="2006"/>
    <x v="1"/>
    <x v="0"/>
    <n v="54.6"/>
    <n v="54.6"/>
    <x v="73"/>
    <x v="10"/>
    <d v="2025-03-17T00:00:00"/>
    <x v="1"/>
    <x v="1"/>
    <x v="1"/>
    <x v="1"/>
    <x v="1"/>
    <x v="0"/>
    <x v="2"/>
  </r>
  <r>
    <x v="2007"/>
    <x v="8"/>
    <x v="0"/>
    <n v="15.9"/>
    <n v="15.9"/>
    <x v="73"/>
    <x v="10"/>
    <d v="2025-03-16T00:00:00"/>
    <x v="3"/>
    <x v="1"/>
    <x v="1"/>
    <x v="0"/>
    <x v="1"/>
    <x v="0"/>
    <x v="22"/>
  </r>
  <r>
    <x v="2008"/>
    <x v="9"/>
    <x v="0"/>
    <n v="50.2"/>
    <n v="50.2"/>
    <x v="73"/>
    <x v="10"/>
    <d v="2025-03-17T00:00:00"/>
    <x v="1"/>
    <x v="2"/>
    <x v="2"/>
    <x v="3"/>
    <x v="2"/>
    <x v="0"/>
    <x v="34"/>
  </r>
  <r>
    <x v="2009"/>
    <x v="11"/>
    <x v="12"/>
    <n v="85.1"/>
    <n v="340.4"/>
    <x v="73"/>
    <x v="10"/>
    <d v="2025-03-16T00:00:00"/>
    <x v="3"/>
    <x v="2"/>
    <x v="2"/>
    <x v="3"/>
    <x v="4"/>
    <x v="0"/>
    <x v="34"/>
  </r>
  <r>
    <x v="2010"/>
    <x v="11"/>
    <x v="1"/>
    <n v="41.4"/>
    <n v="82.8"/>
    <x v="73"/>
    <x v="10"/>
    <d v="2025-03-16T00:00:00"/>
    <x v="3"/>
    <x v="2"/>
    <x v="2"/>
    <x v="0"/>
    <x v="2"/>
    <x v="0"/>
    <x v="3"/>
  </r>
  <r>
    <x v="2011"/>
    <x v="4"/>
    <x v="3"/>
    <n v="32.700000000000003"/>
    <n v="228.90000000000003"/>
    <x v="73"/>
    <x v="10"/>
    <d v="2025-03-16T00:00:00"/>
    <x v="3"/>
    <x v="2"/>
    <x v="2"/>
    <x v="2"/>
    <x v="1"/>
    <x v="0"/>
    <x v="3"/>
  </r>
  <r>
    <x v="2012"/>
    <x v="4"/>
    <x v="1"/>
    <n v="41.6"/>
    <n v="83.2"/>
    <x v="73"/>
    <x v="10"/>
    <d v="2025-03-17T00:00:00"/>
    <x v="1"/>
    <x v="1"/>
    <x v="1"/>
    <x v="4"/>
    <x v="1"/>
    <x v="0"/>
    <x v="3"/>
  </r>
  <r>
    <x v="2013"/>
    <x v="5"/>
    <x v="12"/>
    <n v="64.8"/>
    <n v="259.2"/>
    <x v="73"/>
    <x v="10"/>
    <d v="2025-03-16T00:00:00"/>
    <x v="3"/>
    <x v="0"/>
    <x v="0"/>
    <x v="2"/>
    <x v="0"/>
    <x v="0"/>
    <x v="3"/>
  </r>
  <r>
    <x v="2014"/>
    <x v="15"/>
    <x v="1"/>
    <n v="33.6"/>
    <n v="67.2"/>
    <x v="73"/>
    <x v="10"/>
    <d v="2025-03-16T00:00:00"/>
    <x v="3"/>
    <x v="1"/>
    <x v="1"/>
    <x v="0"/>
    <x v="2"/>
    <x v="0"/>
    <x v="3"/>
  </r>
  <r>
    <x v="2015"/>
    <x v="6"/>
    <x v="2"/>
    <n v="100.7"/>
    <n v="302.10000000000002"/>
    <x v="73"/>
    <x v="10"/>
    <d v="2025-03-16T00:00:00"/>
    <x v="3"/>
    <x v="0"/>
    <x v="0"/>
    <x v="1"/>
    <x v="0"/>
    <x v="0"/>
    <x v="3"/>
  </r>
  <r>
    <x v="2016"/>
    <x v="4"/>
    <x v="1"/>
    <n v="49.3"/>
    <n v="98.6"/>
    <x v="74"/>
    <x v="11"/>
    <d v="2025-03-18T00:00:00"/>
    <x v="1"/>
    <x v="2"/>
    <x v="2"/>
    <x v="4"/>
    <x v="2"/>
    <x v="0"/>
    <x v="3"/>
  </r>
  <r>
    <x v="2017"/>
    <x v="2"/>
    <x v="13"/>
    <n v="97"/>
    <n v="582"/>
    <x v="74"/>
    <x v="11"/>
    <d v="2025-03-19T00:00:00"/>
    <x v="2"/>
    <x v="1"/>
    <x v="1"/>
    <x v="2"/>
    <x v="2"/>
    <x v="0"/>
    <x v="3"/>
  </r>
  <r>
    <x v="2018"/>
    <x v="0"/>
    <x v="13"/>
    <n v="25.2"/>
    <n v="151.19999999999999"/>
    <x v="74"/>
    <x v="11"/>
    <d v="2025-03-19T00:00:00"/>
    <x v="2"/>
    <x v="2"/>
    <x v="2"/>
    <x v="4"/>
    <x v="2"/>
    <x v="0"/>
    <x v="3"/>
  </r>
  <r>
    <x v="2019"/>
    <x v="0"/>
    <x v="5"/>
    <n v="12.2"/>
    <n v="134.19999999999999"/>
    <x v="74"/>
    <x v="11"/>
    <d v="2025-03-17T00:00:00"/>
    <x v="3"/>
    <x v="0"/>
    <x v="0"/>
    <x v="0"/>
    <x v="1"/>
    <x v="0"/>
    <x v="3"/>
  </r>
  <r>
    <x v="2020"/>
    <x v="8"/>
    <x v="3"/>
    <n v="38.799999999999997"/>
    <n v="271.59999999999997"/>
    <x v="74"/>
    <x v="11"/>
    <d v="2025-03-18T00:00:00"/>
    <x v="1"/>
    <x v="2"/>
    <x v="2"/>
    <x v="1"/>
    <x v="1"/>
    <x v="0"/>
    <x v="23"/>
  </r>
  <r>
    <x v="2021"/>
    <x v="2"/>
    <x v="12"/>
    <n v="53.2"/>
    <n v="212.8"/>
    <x v="74"/>
    <x v="11"/>
    <d v="2025-03-17T00:00:00"/>
    <x v="3"/>
    <x v="1"/>
    <x v="1"/>
    <x v="0"/>
    <x v="2"/>
    <x v="0"/>
    <x v="8"/>
  </r>
  <r>
    <x v="2022"/>
    <x v="6"/>
    <x v="3"/>
    <n v="151"/>
    <n v="1057"/>
    <x v="74"/>
    <x v="11"/>
    <d v="2025-03-17T00:00:00"/>
    <x v="3"/>
    <x v="3"/>
    <x v="3"/>
    <x v="1"/>
    <x v="1"/>
    <x v="0"/>
    <x v="8"/>
  </r>
  <r>
    <x v="2023"/>
    <x v="1"/>
    <x v="1"/>
    <n v="37.1"/>
    <n v="74.2"/>
    <x v="74"/>
    <x v="11"/>
    <d v="2025-03-17T00:00:00"/>
    <x v="3"/>
    <x v="2"/>
    <x v="2"/>
    <x v="4"/>
    <x v="0"/>
    <x v="0"/>
    <x v="8"/>
  </r>
  <r>
    <x v="2024"/>
    <x v="5"/>
    <x v="1"/>
    <n v="38.9"/>
    <n v="77.8"/>
    <x v="74"/>
    <x v="11"/>
    <d v="2025-03-17T00:00:00"/>
    <x v="3"/>
    <x v="1"/>
    <x v="1"/>
    <x v="4"/>
    <x v="0"/>
    <x v="0"/>
    <x v="8"/>
  </r>
  <r>
    <x v="2025"/>
    <x v="10"/>
    <x v="1"/>
    <n v="35.200000000000003"/>
    <n v="70.400000000000006"/>
    <x v="74"/>
    <x v="11"/>
    <d v="2025-03-17T00:00:00"/>
    <x v="3"/>
    <x v="1"/>
    <x v="1"/>
    <x v="0"/>
    <x v="2"/>
    <x v="0"/>
    <x v="17"/>
  </r>
  <r>
    <x v="2026"/>
    <x v="0"/>
    <x v="1"/>
    <n v="22.3"/>
    <n v="44.6"/>
    <x v="74"/>
    <x v="11"/>
    <d v="2025-03-18T00:00:00"/>
    <x v="1"/>
    <x v="2"/>
    <x v="2"/>
    <x v="1"/>
    <x v="0"/>
    <x v="0"/>
    <x v="9"/>
  </r>
  <r>
    <x v="2027"/>
    <x v="9"/>
    <x v="0"/>
    <n v="43.3"/>
    <n v="43.3"/>
    <x v="74"/>
    <x v="11"/>
    <d v="2025-03-19T00:00:00"/>
    <x v="2"/>
    <x v="2"/>
    <x v="2"/>
    <x v="0"/>
    <x v="2"/>
    <x v="0"/>
    <x v="11"/>
  </r>
  <r>
    <x v="2028"/>
    <x v="6"/>
    <x v="13"/>
    <n v="75.900000000000006"/>
    <n v="455.40000000000003"/>
    <x v="74"/>
    <x v="11"/>
    <d v="2025-03-22T00:00:00"/>
    <x v="4"/>
    <x v="1"/>
    <x v="1"/>
    <x v="0"/>
    <x v="0"/>
    <x v="0"/>
    <x v="11"/>
  </r>
  <r>
    <x v="2029"/>
    <x v="6"/>
    <x v="2"/>
    <n v="78.7"/>
    <n v="236.10000000000002"/>
    <x v="74"/>
    <x v="11"/>
    <d v="2025-03-20T00:00:00"/>
    <x v="5"/>
    <x v="2"/>
    <x v="2"/>
    <x v="2"/>
    <x v="1"/>
    <x v="0"/>
    <x v="11"/>
  </r>
  <r>
    <x v="2030"/>
    <x v="1"/>
    <x v="0"/>
    <n v="66.3"/>
    <n v="66.3"/>
    <x v="74"/>
    <x v="11"/>
    <d v="2025-03-20T00:00:00"/>
    <x v="5"/>
    <x v="2"/>
    <x v="2"/>
    <x v="0"/>
    <x v="2"/>
    <x v="0"/>
    <x v="19"/>
  </r>
  <r>
    <x v="2031"/>
    <x v="8"/>
    <x v="1"/>
    <n v="33.6"/>
    <n v="67.2"/>
    <x v="74"/>
    <x v="11"/>
    <d v="2025-03-16T00:00:00"/>
    <x v="7"/>
    <x v="1"/>
    <x v="1"/>
    <x v="0"/>
    <x v="1"/>
    <x v="0"/>
    <x v="19"/>
  </r>
  <r>
    <x v="2032"/>
    <x v="2"/>
    <x v="3"/>
    <n v="61.4"/>
    <n v="429.8"/>
    <x v="74"/>
    <x v="11"/>
    <d v="2025-03-17T00:00:00"/>
    <x v="3"/>
    <x v="1"/>
    <x v="1"/>
    <x v="4"/>
    <x v="0"/>
    <x v="0"/>
    <x v="19"/>
  </r>
  <r>
    <x v="2033"/>
    <x v="8"/>
    <x v="1"/>
    <n v="17.5"/>
    <n v="35"/>
    <x v="74"/>
    <x v="11"/>
    <d v="2025-03-19T00:00:00"/>
    <x v="2"/>
    <x v="2"/>
    <x v="2"/>
    <x v="0"/>
    <x v="0"/>
    <x v="0"/>
    <x v="21"/>
  </r>
  <r>
    <x v="2034"/>
    <x v="8"/>
    <x v="1"/>
    <n v="32.5"/>
    <n v="65"/>
    <x v="74"/>
    <x v="11"/>
    <d v="2025-03-19T00:00:00"/>
    <x v="2"/>
    <x v="2"/>
    <x v="2"/>
    <x v="1"/>
    <x v="0"/>
    <x v="0"/>
    <x v="21"/>
  </r>
  <r>
    <x v="2035"/>
    <x v="4"/>
    <x v="0"/>
    <n v="34.6"/>
    <n v="34.6"/>
    <x v="74"/>
    <x v="11"/>
    <d v="2025-03-17T00:00:00"/>
    <x v="3"/>
    <x v="2"/>
    <x v="2"/>
    <x v="4"/>
    <x v="0"/>
    <x v="0"/>
    <x v="21"/>
  </r>
  <r>
    <x v="2036"/>
    <x v="2"/>
    <x v="0"/>
    <n v="75.900000000000006"/>
    <n v="75.900000000000006"/>
    <x v="74"/>
    <x v="11"/>
    <d v="2025-03-16T00:00:00"/>
    <x v="7"/>
    <x v="1"/>
    <x v="1"/>
    <x v="1"/>
    <x v="2"/>
    <x v="0"/>
    <x v="21"/>
  </r>
  <r>
    <x v="2037"/>
    <x v="1"/>
    <x v="2"/>
    <n v="42.1"/>
    <n v="126.30000000000001"/>
    <x v="74"/>
    <x v="11"/>
    <d v="2025-03-19T00:00:00"/>
    <x v="2"/>
    <x v="1"/>
    <x v="1"/>
    <x v="1"/>
    <x v="1"/>
    <x v="0"/>
    <x v="21"/>
  </r>
  <r>
    <x v="2038"/>
    <x v="7"/>
    <x v="2"/>
    <n v="65.3"/>
    <n v="195.89999999999998"/>
    <x v="74"/>
    <x v="11"/>
    <d v="2025-03-23T00:00:00"/>
    <x v="6"/>
    <x v="1"/>
    <x v="1"/>
    <x v="0"/>
    <x v="0"/>
    <x v="0"/>
    <x v="1"/>
  </r>
  <r>
    <x v="2039"/>
    <x v="15"/>
    <x v="0"/>
    <n v="20.6"/>
    <n v="20.6"/>
    <x v="74"/>
    <x v="11"/>
    <d v="2025-03-19T00:00:00"/>
    <x v="2"/>
    <x v="1"/>
    <x v="1"/>
    <x v="3"/>
    <x v="0"/>
    <x v="0"/>
    <x v="42"/>
  </r>
  <r>
    <x v="2040"/>
    <x v="8"/>
    <x v="3"/>
    <n v="16.5"/>
    <n v="115.5"/>
    <x v="74"/>
    <x v="11"/>
    <d v="2025-03-17T00:00:00"/>
    <x v="3"/>
    <x v="1"/>
    <x v="1"/>
    <x v="1"/>
    <x v="1"/>
    <x v="0"/>
    <x v="2"/>
  </r>
  <r>
    <x v="2041"/>
    <x v="16"/>
    <x v="7"/>
    <n v="36.200000000000003"/>
    <n v="362"/>
    <x v="74"/>
    <x v="11"/>
    <d v="2025-03-18T00:00:00"/>
    <x v="1"/>
    <x v="1"/>
    <x v="1"/>
    <x v="0"/>
    <x v="2"/>
    <x v="0"/>
    <x v="2"/>
  </r>
  <r>
    <x v="2042"/>
    <x v="6"/>
    <x v="0"/>
    <n v="53.2"/>
    <n v="53.2"/>
    <x v="74"/>
    <x v="11"/>
    <d v="2025-03-17T00:00:00"/>
    <x v="3"/>
    <x v="2"/>
    <x v="2"/>
    <x v="0"/>
    <x v="1"/>
    <x v="0"/>
    <x v="22"/>
  </r>
  <r>
    <x v="2043"/>
    <x v="2"/>
    <x v="21"/>
    <n v="176"/>
    <n v="2464"/>
    <x v="74"/>
    <x v="11"/>
    <d v="2025-03-17T00:00:00"/>
    <x v="3"/>
    <x v="2"/>
    <x v="2"/>
    <x v="0"/>
    <x v="1"/>
    <x v="0"/>
    <x v="3"/>
  </r>
  <r>
    <x v="2044"/>
    <x v="1"/>
    <x v="0"/>
    <n v="52.4"/>
    <n v="52.4"/>
    <x v="74"/>
    <x v="11"/>
    <d v="2025-03-17T00:00:00"/>
    <x v="3"/>
    <x v="1"/>
    <x v="1"/>
    <x v="1"/>
    <x v="0"/>
    <x v="0"/>
    <x v="3"/>
  </r>
  <r>
    <x v="2045"/>
    <x v="10"/>
    <x v="2"/>
    <n v="48.2"/>
    <n v="144.60000000000002"/>
    <x v="74"/>
    <x v="11"/>
    <d v="2025-03-17T00:00:00"/>
    <x v="3"/>
    <x v="2"/>
    <x v="2"/>
    <x v="1"/>
    <x v="2"/>
    <x v="0"/>
    <x v="3"/>
  </r>
  <r>
    <x v="2046"/>
    <x v="15"/>
    <x v="0"/>
    <n v="51.6"/>
    <n v="51.6"/>
    <x v="74"/>
    <x v="11"/>
    <d v="2025-03-20T00:00:00"/>
    <x v="5"/>
    <x v="2"/>
    <x v="2"/>
    <x v="2"/>
    <x v="1"/>
    <x v="0"/>
    <x v="3"/>
  </r>
  <r>
    <x v="2047"/>
    <x v="0"/>
    <x v="12"/>
    <n v="33.700000000000003"/>
    <n v="134.80000000000001"/>
    <x v="75"/>
    <x v="11"/>
    <d v="2025-03-18T00:00:00"/>
    <x v="3"/>
    <x v="1"/>
    <x v="1"/>
    <x v="0"/>
    <x v="0"/>
    <x v="0"/>
    <x v="3"/>
  </r>
  <r>
    <x v="2048"/>
    <x v="4"/>
    <x v="7"/>
    <n v="36.299999999999997"/>
    <n v="363"/>
    <x v="75"/>
    <x v="11"/>
    <d v="2025-03-19T00:00:00"/>
    <x v="1"/>
    <x v="2"/>
    <x v="2"/>
    <x v="4"/>
    <x v="1"/>
    <x v="0"/>
    <x v="3"/>
  </r>
  <r>
    <x v="2049"/>
    <x v="8"/>
    <x v="0"/>
    <n v="23.4"/>
    <n v="23.4"/>
    <x v="75"/>
    <x v="11"/>
    <d v="2025-03-22T00:00:00"/>
    <x v="0"/>
    <x v="2"/>
    <x v="2"/>
    <x v="1"/>
    <x v="2"/>
    <x v="0"/>
    <x v="3"/>
  </r>
  <r>
    <x v="2050"/>
    <x v="15"/>
    <x v="8"/>
    <n v="56.6"/>
    <n v="452.8"/>
    <x v="75"/>
    <x v="11"/>
    <d v="2025-03-19T00:00:00"/>
    <x v="1"/>
    <x v="2"/>
    <x v="2"/>
    <x v="1"/>
    <x v="0"/>
    <x v="0"/>
    <x v="3"/>
  </r>
  <r>
    <x v="2051"/>
    <x v="15"/>
    <x v="1"/>
    <n v="26.8"/>
    <n v="53.6"/>
    <x v="75"/>
    <x v="11"/>
    <d v="2025-03-18T00:00:00"/>
    <x v="3"/>
    <x v="1"/>
    <x v="1"/>
    <x v="0"/>
    <x v="0"/>
    <x v="0"/>
    <x v="4"/>
  </r>
  <r>
    <x v="2052"/>
    <x v="0"/>
    <x v="2"/>
    <n v="11.3"/>
    <n v="33.900000000000006"/>
    <x v="75"/>
    <x v="11"/>
    <d v="2025-03-19T00:00:00"/>
    <x v="1"/>
    <x v="1"/>
    <x v="1"/>
    <x v="2"/>
    <x v="0"/>
    <x v="0"/>
    <x v="25"/>
  </r>
  <r>
    <x v="2053"/>
    <x v="6"/>
    <x v="2"/>
    <n v="60.1"/>
    <n v="180.3"/>
    <x v="75"/>
    <x v="11"/>
    <d v="2025-03-20T00:00:00"/>
    <x v="2"/>
    <x v="2"/>
    <x v="2"/>
    <x v="0"/>
    <x v="0"/>
    <x v="0"/>
    <x v="7"/>
  </r>
  <r>
    <x v="2054"/>
    <x v="0"/>
    <x v="5"/>
    <n v="27.7"/>
    <n v="304.7"/>
    <x v="75"/>
    <x v="11"/>
    <d v="2025-03-22T00:00:00"/>
    <x v="0"/>
    <x v="2"/>
    <x v="2"/>
    <x v="0"/>
    <x v="0"/>
    <x v="0"/>
    <x v="8"/>
  </r>
  <r>
    <x v="2055"/>
    <x v="15"/>
    <x v="0"/>
    <n v="71.400000000000006"/>
    <n v="71.400000000000006"/>
    <x v="75"/>
    <x v="11"/>
    <d v="2025-03-20T00:00:00"/>
    <x v="2"/>
    <x v="1"/>
    <x v="1"/>
    <x v="0"/>
    <x v="2"/>
    <x v="0"/>
    <x v="8"/>
  </r>
  <r>
    <x v="2056"/>
    <x v="2"/>
    <x v="1"/>
    <n v="66.7"/>
    <n v="133.4"/>
    <x v="75"/>
    <x v="11"/>
    <d v="2025-03-18T00:00:00"/>
    <x v="3"/>
    <x v="2"/>
    <x v="2"/>
    <x v="0"/>
    <x v="2"/>
    <x v="0"/>
    <x v="8"/>
  </r>
  <r>
    <x v="2057"/>
    <x v="13"/>
    <x v="9"/>
    <n v="39.1"/>
    <n v="195.5"/>
    <x v="75"/>
    <x v="11"/>
    <d v="2025-03-18T00:00:00"/>
    <x v="3"/>
    <x v="2"/>
    <x v="2"/>
    <x v="0"/>
    <x v="0"/>
    <x v="0"/>
    <x v="8"/>
  </r>
  <r>
    <x v="2058"/>
    <x v="8"/>
    <x v="12"/>
    <n v="24.9"/>
    <n v="99.6"/>
    <x v="75"/>
    <x v="11"/>
    <d v="2025-03-22T00:00:00"/>
    <x v="0"/>
    <x v="1"/>
    <x v="1"/>
    <x v="1"/>
    <x v="2"/>
    <x v="0"/>
    <x v="8"/>
  </r>
  <r>
    <x v="2059"/>
    <x v="5"/>
    <x v="9"/>
    <n v="29.2"/>
    <n v="146"/>
    <x v="75"/>
    <x v="11"/>
    <d v="2025-03-18T00:00:00"/>
    <x v="3"/>
    <x v="1"/>
    <x v="1"/>
    <x v="0"/>
    <x v="2"/>
    <x v="0"/>
    <x v="17"/>
  </r>
  <r>
    <x v="2060"/>
    <x v="13"/>
    <x v="21"/>
    <n v="28.3"/>
    <n v="396.2"/>
    <x v="75"/>
    <x v="11"/>
    <d v="2025-03-19T00:00:00"/>
    <x v="1"/>
    <x v="2"/>
    <x v="2"/>
    <x v="1"/>
    <x v="0"/>
    <x v="0"/>
    <x v="11"/>
  </r>
  <r>
    <x v="2061"/>
    <x v="9"/>
    <x v="2"/>
    <n v="37.799999999999997"/>
    <n v="113.39999999999999"/>
    <x v="75"/>
    <x v="11"/>
    <d v="2025-03-18T00:00:00"/>
    <x v="3"/>
    <x v="2"/>
    <x v="2"/>
    <x v="0"/>
    <x v="1"/>
    <x v="0"/>
    <x v="11"/>
  </r>
  <r>
    <x v="2062"/>
    <x v="14"/>
    <x v="3"/>
    <n v="28.1"/>
    <n v="196.70000000000002"/>
    <x v="75"/>
    <x v="11"/>
    <d v="2025-03-23T00:00:00"/>
    <x v="4"/>
    <x v="2"/>
    <x v="2"/>
    <x v="2"/>
    <x v="0"/>
    <x v="0"/>
    <x v="11"/>
  </r>
  <r>
    <x v="2063"/>
    <x v="1"/>
    <x v="2"/>
    <n v="59.7"/>
    <n v="179.10000000000002"/>
    <x v="75"/>
    <x v="11"/>
    <d v="2025-03-19T00:00:00"/>
    <x v="1"/>
    <x v="2"/>
    <x v="2"/>
    <x v="2"/>
    <x v="0"/>
    <x v="0"/>
    <x v="11"/>
  </r>
  <r>
    <x v="2064"/>
    <x v="16"/>
    <x v="0"/>
    <n v="71.900000000000006"/>
    <n v="71.900000000000006"/>
    <x v="75"/>
    <x v="11"/>
    <d v="2025-03-18T00:00:00"/>
    <x v="3"/>
    <x v="1"/>
    <x v="1"/>
    <x v="1"/>
    <x v="1"/>
    <x v="0"/>
    <x v="11"/>
  </r>
  <r>
    <x v="2065"/>
    <x v="1"/>
    <x v="1"/>
    <n v="56.9"/>
    <n v="113.8"/>
    <x v="75"/>
    <x v="11"/>
    <d v="2025-03-18T00:00:00"/>
    <x v="3"/>
    <x v="1"/>
    <x v="1"/>
    <x v="2"/>
    <x v="0"/>
    <x v="0"/>
    <x v="13"/>
  </r>
  <r>
    <x v="2066"/>
    <x v="8"/>
    <x v="1"/>
    <n v="15.8"/>
    <n v="31.6"/>
    <x v="75"/>
    <x v="11"/>
    <d v="2025-03-20T00:00:00"/>
    <x v="2"/>
    <x v="2"/>
    <x v="2"/>
    <x v="2"/>
    <x v="1"/>
    <x v="0"/>
    <x v="1"/>
  </r>
  <r>
    <x v="2067"/>
    <x v="11"/>
    <x v="12"/>
    <n v="61.7"/>
    <n v="246.8"/>
    <x v="75"/>
    <x v="11"/>
    <d v="2025-03-19T00:00:00"/>
    <x v="1"/>
    <x v="2"/>
    <x v="2"/>
    <x v="2"/>
    <x v="0"/>
    <x v="0"/>
    <x v="22"/>
  </r>
  <r>
    <x v="2068"/>
    <x v="2"/>
    <x v="7"/>
    <n v="105.2"/>
    <n v="1052"/>
    <x v="75"/>
    <x v="11"/>
    <d v="2025-03-19T00:00:00"/>
    <x v="1"/>
    <x v="1"/>
    <x v="1"/>
    <x v="1"/>
    <x v="4"/>
    <x v="0"/>
    <x v="3"/>
  </r>
  <r>
    <x v="2069"/>
    <x v="0"/>
    <x v="1"/>
    <n v="17"/>
    <n v="34"/>
    <x v="75"/>
    <x v="11"/>
    <d v="2025-03-19T00:00:00"/>
    <x v="1"/>
    <x v="2"/>
    <x v="2"/>
    <x v="2"/>
    <x v="0"/>
    <x v="0"/>
    <x v="3"/>
  </r>
  <r>
    <x v="2070"/>
    <x v="6"/>
    <x v="2"/>
    <n v="84.1"/>
    <n v="252.29999999999998"/>
    <x v="75"/>
    <x v="11"/>
    <d v="2025-03-18T00:00:00"/>
    <x v="3"/>
    <x v="1"/>
    <x v="1"/>
    <x v="2"/>
    <x v="0"/>
    <x v="0"/>
    <x v="3"/>
  </r>
  <r>
    <x v="2071"/>
    <x v="3"/>
    <x v="12"/>
    <n v="59.5"/>
    <n v="238"/>
    <x v="75"/>
    <x v="11"/>
    <d v="2025-03-22T00:00:00"/>
    <x v="0"/>
    <x v="1"/>
    <x v="1"/>
    <x v="0"/>
    <x v="2"/>
    <x v="0"/>
    <x v="3"/>
  </r>
  <r>
    <x v="2072"/>
    <x v="8"/>
    <x v="1"/>
    <n v="57.5"/>
    <n v="115"/>
    <x v="75"/>
    <x v="11"/>
    <d v="2025-03-19T00:00:00"/>
    <x v="1"/>
    <x v="1"/>
    <x v="1"/>
    <x v="1"/>
    <x v="2"/>
    <x v="0"/>
    <x v="3"/>
  </r>
  <r>
    <x v="2073"/>
    <x v="8"/>
    <x v="0"/>
    <n v="34.299999999999997"/>
    <n v="34.299999999999997"/>
    <x v="75"/>
    <x v="11"/>
    <d v="2025-03-18T00:00:00"/>
    <x v="3"/>
    <x v="2"/>
    <x v="2"/>
    <x v="4"/>
    <x v="2"/>
    <x v="0"/>
    <x v="3"/>
  </r>
  <r>
    <x v="2074"/>
    <x v="5"/>
    <x v="1"/>
    <n v="27.8"/>
    <n v="55.6"/>
    <x v="76"/>
    <x v="11"/>
    <d v="2025-03-20T00:00:00"/>
    <x v="1"/>
    <x v="2"/>
    <x v="2"/>
    <x v="0"/>
    <x v="0"/>
    <x v="0"/>
    <x v="3"/>
  </r>
  <r>
    <x v="2075"/>
    <x v="12"/>
    <x v="1"/>
    <n v="85"/>
    <n v="170"/>
    <x v="76"/>
    <x v="11"/>
    <d v="2025-03-18T00:00:00"/>
    <x v="7"/>
    <x v="1"/>
    <x v="1"/>
    <x v="2"/>
    <x v="2"/>
    <x v="0"/>
    <x v="3"/>
  </r>
  <r>
    <x v="2076"/>
    <x v="6"/>
    <x v="1"/>
    <n v="95"/>
    <n v="190"/>
    <x v="76"/>
    <x v="11"/>
    <d v="2025-03-20T00:00:00"/>
    <x v="1"/>
    <x v="2"/>
    <x v="2"/>
    <x v="0"/>
    <x v="0"/>
    <x v="0"/>
    <x v="3"/>
  </r>
  <r>
    <x v="2077"/>
    <x v="16"/>
    <x v="1"/>
    <n v="32"/>
    <n v="64"/>
    <x v="76"/>
    <x v="11"/>
    <d v="2025-03-20T00:00:00"/>
    <x v="1"/>
    <x v="1"/>
    <x v="1"/>
    <x v="0"/>
    <x v="1"/>
    <x v="0"/>
    <x v="3"/>
  </r>
  <r>
    <x v="2078"/>
    <x v="2"/>
    <x v="1"/>
    <n v="65.2"/>
    <n v="130.4"/>
    <x v="76"/>
    <x v="11"/>
    <d v="2025-03-19T00:00:00"/>
    <x v="3"/>
    <x v="2"/>
    <x v="2"/>
    <x v="1"/>
    <x v="0"/>
    <x v="0"/>
    <x v="3"/>
  </r>
  <r>
    <x v="2079"/>
    <x v="17"/>
    <x v="12"/>
    <n v="22"/>
    <n v="88"/>
    <x v="76"/>
    <x v="11"/>
    <d v="2025-03-19T00:00:00"/>
    <x v="3"/>
    <x v="1"/>
    <x v="1"/>
    <x v="1"/>
    <x v="2"/>
    <x v="0"/>
    <x v="3"/>
  </r>
  <r>
    <x v="2080"/>
    <x v="15"/>
    <x v="2"/>
    <n v="69.400000000000006"/>
    <n v="208.20000000000002"/>
    <x v="76"/>
    <x v="11"/>
    <d v="2025-03-21T00:00:00"/>
    <x v="2"/>
    <x v="1"/>
    <x v="1"/>
    <x v="1"/>
    <x v="2"/>
    <x v="0"/>
    <x v="3"/>
  </r>
  <r>
    <x v="2081"/>
    <x v="10"/>
    <x v="13"/>
    <n v="31.5"/>
    <n v="189"/>
    <x v="76"/>
    <x v="11"/>
    <d v="2025-03-20T00:00:00"/>
    <x v="1"/>
    <x v="2"/>
    <x v="2"/>
    <x v="0"/>
    <x v="2"/>
    <x v="0"/>
    <x v="3"/>
  </r>
  <r>
    <x v="2082"/>
    <x v="6"/>
    <x v="0"/>
    <n v="45.8"/>
    <n v="45.8"/>
    <x v="76"/>
    <x v="11"/>
    <d v="2025-03-22T00:00:00"/>
    <x v="5"/>
    <x v="3"/>
    <x v="3"/>
    <x v="0"/>
    <x v="0"/>
    <x v="0"/>
    <x v="3"/>
  </r>
  <r>
    <x v="2083"/>
    <x v="19"/>
    <x v="12"/>
    <n v="12.8"/>
    <n v="51.2"/>
    <x v="76"/>
    <x v="11"/>
    <d v="2025-03-25T00:00:00"/>
    <x v="6"/>
    <x v="2"/>
    <x v="2"/>
    <x v="1"/>
    <x v="1"/>
    <x v="0"/>
    <x v="5"/>
  </r>
  <r>
    <x v="2084"/>
    <x v="5"/>
    <x v="2"/>
    <n v="115.3"/>
    <n v="345.9"/>
    <x v="76"/>
    <x v="11"/>
    <d v="2025-03-19T00:00:00"/>
    <x v="3"/>
    <x v="2"/>
    <x v="2"/>
    <x v="2"/>
    <x v="2"/>
    <x v="0"/>
    <x v="6"/>
  </r>
  <r>
    <x v="2085"/>
    <x v="5"/>
    <x v="1"/>
    <n v="85"/>
    <n v="170"/>
    <x v="76"/>
    <x v="11"/>
    <d v="2025-03-20T00:00:00"/>
    <x v="1"/>
    <x v="2"/>
    <x v="2"/>
    <x v="1"/>
    <x v="0"/>
    <x v="0"/>
    <x v="7"/>
  </r>
  <r>
    <x v="2086"/>
    <x v="8"/>
    <x v="2"/>
    <n v="56.6"/>
    <n v="169.8"/>
    <x v="76"/>
    <x v="11"/>
    <d v="2025-03-19T00:00:00"/>
    <x v="3"/>
    <x v="2"/>
    <x v="2"/>
    <x v="1"/>
    <x v="2"/>
    <x v="0"/>
    <x v="7"/>
  </r>
  <r>
    <x v="2087"/>
    <x v="15"/>
    <x v="6"/>
    <n v="46.3"/>
    <n v="1250.0999999999999"/>
    <x v="76"/>
    <x v="11"/>
    <d v="2025-03-21T00:00:00"/>
    <x v="2"/>
    <x v="1"/>
    <x v="1"/>
    <x v="0"/>
    <x v="0"/>
    <x v="0"/>
    <x v="7"/>
  </r>
  <r>
    <x v="2088"/>
    <x v="14"/>
    <x v="12"/>
    <n v="23"/>
    <n v="92"/>
    <x v="76"/>
    <x v="11"/>
    <d v="2025-03-22T00:00:00"/>
    <x v="5"/>
    <x v="1"/>
    <x v="1"/>
    <x v="3"/>
    <x v="2"/>
    <x v="0"/>
    <x v="7"/>
  </r>
  <r>
    <x v="2089"/>
    <x v="8"/>
    <x v="13"/>
    <n v="42.1"/>
    <n v="252.60000000000002"/>
    <x v="76"/>
    <x v="11"/>
    <d v="2025-03-20T00:00:00"/>
    <x v="1"/>
    <x v="1"/>
    <x v="1"/>
    <x v="4"/>
    <x v="0"/>
    <x v="0"/>
    <x v="8"/>
  </r>
  <r>
    <x v="2090"/>
    <x v="5"/>
    <x v="3"/>
    <n v="57.4"/>
    <n v="401.8"/>
    <x v="76"/>
    <x v="11"/>
    <d v="2025-03-22T00:00:00"/>
    <x v="5"/>
    <x v="2"/>
    <x v="2"/>
    <x v="1"/>
    <x v="4"/>
    <x v="0"/>
    <x v="8"/>
  </r>
  <r>
    <x v="2091"/>
    <x v="0"/>
    <x v="13"/>
    <n v="13.2"/>
    <n v="79.199999999999989"/>
    <x v="76"/>
    <x v="11"/>
    <d v="2025-03-22T00:00:00"/>
    <x v="5"/>
    <x v="1"/>
    <x v="1"/>
    <x v="2"/>
    <x v="0"/>
    <x v="0"/>
    <x v="8"/>
  </r>
  <r>
    <x v="2092"/>
    <x v="6"/>
    <x v="2"/>
    <n v="52.3"/>
    <n v="156.89999999999998"/>
    <x v="76"/>
    <x v="11"/>
    <d v="2025-03-19T00:00:00"/>
    <x v="3"/>
    <x v="1"/>
    <x v="1"/>
    <x v="1"/>
    <x v="0"/>
    <x v="0"/>
    <x v="8"/>
  </r>
  <r>
    <x v="2093"/>
    <x v="8"/>
    <x v="1"/>
    <n v="15.7"/>
    <n v="31.4"/>
    <x v="76"/>
    <x v="11"/>
    <d v="2025-03-21T00:00:00"/>
    <x v="2"/>
    <x v="1"/>
    <x v="1"/>
    <x v="1"/>
    <x v="2"/>
    <x v="0"/>
    <x v="8"/>
  </r>
  <r>
    <x v="2094"/>
    <x v="7"/>
    <x v="2"/>
    <n v="35"/>
    <n v="105"/>
    <x v="76"/>
    <x v="11"/>
    <d v="2025-03-21T00:00:00"/>
    <x v="2"/>
    <x v="2"/>
    <x v="2"/>
    <x v="1"/>
    <x v="2"/>
    <x v="0"/>
    <x v="9"/>
  </r>
  <r>
    <x v="2095"/>
    <x v="4"/>
    <x v="2"/>
    <n v="26.6"/>
    <n v="79.800000000000011"/>
    <x v="76"/>
    <x v="11"/>
    <d v="2025-03-18T00:00:00"/>
    <x v="7"/>
    <x v="1"/>
    <x v="1"/>
    <x v="1"/>
    <x v="2"/>
    <x v="0"/>
    <x v="11"/>
  </r>
  <r>
    <x v="2096"/>
    <x v="4"/>
    <x v="8"/>
    <n v="47.9"/>
    <n v="383.2"/>
    <x v="77"/>
    <x v="11"/>
    <d v="2025-03-20T00:00:00"/>
    <x v="3"/>
    <x v="2"/>
    <x v="2"/>
    <x v="3"/>
    <x v="2"/>
    <x v="0"/>
    <x v="20"/>
  </r>
  <r>
    <x v="2097"/>
    <x v="5"/>
    <x v="0"/>
    <n v="80.099999999999994"/>
    <n v="80.099999999999994"/>
    <x v="77"/>
    <x v="11"/>
    <d v="2025-03-20T00:00:00"/>
    <x v="3"/>
    <x v="1"/>
    <x v="1"/>
    <x v="2"/>
    <x v="0"/>
    <x v="0"/>
    <x v="21"/>
  </r>
  <r>
    <x v="2098"/>
    <x v="6"/>
    <x v="9"/>
    <n v="50.4"/>
    <n v="252"/>
    <x v="77"/>
    <x v="11"/>
    <d v="2025-03-20T00:00:00"/>
    <x v="3"/>
    <x v="1"/>
    <x v="1"/>
    <x v="1"/>
    <x v="2"/>
    <x v="0"/>
    <x v="21"/>
  </r>
  <r>
    <x v="2099"/>
    <x v="10"/>
    <x v="3"/>
    <n v="43.3"/>
    <n v="303.09999999999997"/>
    <x v="77"/>
    <x v="11"/>
    <d v="2025-03-20T00:00:00"/>
    <x v="3"/>
    <x v="1"/>
    <x v="1"/>
    <x v="2"/>
    <x v="0"/>
    <x v="0"/>
    <x v="21"/>
  </r>
  <r>
    <x v="2100"/>
    <x v="10"/>
    <x v="12"/>
    <n v="57.5"/>
    <n v="230"/>
    <x v="77"/>
    <x v="11"/>
    <d v="2025-03-20T00:00:00"/>
    <x v="3"/>
    <x v="2"/>
    <x v="2"/>
    <x v="1"/>
    <x v="2"/>
    <x v="0"/>
    <x v="1"/>
  </r>
  <r>
    <x v="2101"/>
    <x v="9"/>
    <x v="15"/>
    <n v="24.8"/>
    <n v="322.40000000000003"/>
    <x v="77"/>
    <x v="11"/>
    <d v="2025-03-20T00:00:00"/>
    <x v="3"/>
    <x v="1"/>
    <x v="1"/>
    <x v="0"/>
    <x v="0"/>
    <x v="0"/>
    <x v="57"/>
  </r>
  <r>
    <x v="2102"/>
    <x v="2"/>
    <x v="11"/>
    <n v="85.7"/>
    <n v="771.30000000000007"/>
    <x v="77"/>
    <x v="11"/>
    <d v="2025-03-20T00:00:00"/>
    <x v="3"/>
    <x v="2"/>
    <x v="2"/>
    <x v="0"/>
    <x v="0"/>
    <x v="0"/>
    <x v="42"/>
  </r>
  <r>
    <x v="2103"/>
    <x v="7"/>
    <x v="0"/>
    <n v="47.1"/>
    <n v="47.1"/>
    <x v="77"/>
    <x v="11"/>
    <d v="2025-03-21T00:00:00"/>
    <x v="1"/>
    <x v="2"/>
    <x v="2"/>
    <x v="0"/>
    <x v="0"/>
    <x v="0"/>
    <x v="2"/>
  </r>
  <r>
    <x v="2104"/>
    <x v="5"/>
    <x v="7"/>
    <n v="83.2"/>
    <n v="832"/>
    <x v="77"/>
    <x v="11"/>
    <d v="2025-03-23T00:00:00"/>
    <x v="5"/>
    <x v="2"/>
    <x v="2"/>
    <x v="0"/>
    <x v="0"/>
    <x v="0"/>
    <x v="33"/>
  </r>
  <r>
    <x v="2105"/>
    <x v="2"/>
    <x v="2"/>
    <n v="157"/>
    <n v="471"/>
    <x v="77"/>
    <x v="11"/>
    <d v="2025-03-21T00:00:00"/>
    <x v="1"/>
    <x v="2"/>
    <x v="2"/>
    <x v="0"/>
    <x v="2"/>
    <x v="0"/>
    <x v="22"/>
  </r>
  <r>
    <x v="2106"/>
    <x v="16"/>
    <x v="12"/>
    <n v="33.700000000000003"/>
    <n v="134.80000000000001"/>
    <x v="77"/>
    <x v="11"/>
    <d v="2025-03-20T00:00:00"/>
    <x v="3"/>
    <x v="1"/>
    <x v="1"/>
    <x v="2"/>
    <x v="2"/>
    <x v="0"/>
    <x v="22"/>
  </r>
  <r>
    <x v="2107"/>
    <x v="2"/>
    <x v="2"/>
    <n v="60.8"/>
    <n v="182.39999999999998"/>
    <x v="77"/>
    <x v="11"/>
    <d v="2025-03-23T00:00:00"/>
    <x v="5"/>
    <x v="2"/>
    <x v="2"/>
    <x v="1"/>
    <x v="1"/>
    <x v="0"/>
    <x v="3"/>
  </r>
  <r>
    <x v="2108"/>
    <x v="7"/>
    <x v="0"/>
    <n v="57.6"/>
    <n v="57.6"/>
    <x v="77"/>
    <x v="11"/>
    <d v="2025-03-20T00:00:00"/>
    <x v="3"/>
    <x v="1"/>
    <x v="1"/>
    <x v="1"/>
    <x v="4"/>
    <x v="0"/>
    <x v="3"/>
  </r>
  <r>
    <x v="2109"/>
    <x v="10"/>
    <x v="0"/>
    <n v="32"/>
    <n v="32"/>
    <x v="77"/>
    <x v="11"/>
    <d v="2025-03-21T00:00:00"/>
    <x v="1"/>
    <x v="1"/>
    <x v="1"/>
    <x v="0"/>
    <x v="0"/>
    <x v="0"/>
    <x v="3"/>
  </r>
  <r>
    <x v="2110"/>
    <x v="10"/>
    <x v="12"/>
    <n v="23.5"/>
    <n v="94"/>
    <x v="77"/>
    <x v="11"/>
    <d v="2025-03-20T00:00:00"/>
    <x v="3"/>
    <x v="2"/>
    <x v="2"/>
    <x v="0"/>
    <x v="2"/>
    <x v="0"/>
    <x v="3"/>
  </r>
  <r>
    <x v="2111"/>
    <x v="12"/>
    <x v="2"/>
    <n v="44.8"/>
    <n v="134.39999999999998"/>
    <x v="77"/>
    <x v="11"/>
    <d v="2025-03-20T00:00:00"/>
    <x v="3"/>
    <x v="3"/>
    <x v="3"/>
    <x v="4"/>
    <x v="0"/>
    <x v="0"/>
    <x v="3"/>
  </r>
  <r>
    <x v="2112"/>
    <x v="0"/>
    <x v="8"/>
    <n v="11.7"/>
    <n v="93.6"/>
    <x v="77"/>
    <x v="11"/>
    <d v="2025-03-20T00:00:00"/>
    <x v="3"/>
    <x v="1"/>
    <x v="1"/>
    <x v="2"/>
    <x v="2"/>
    <x v="0"/>
    <x v="3"/>
  </r>
  <r>
    <x v="2113"/>
    <x v="7"/>
    <x v="1"/>
    <n v="38.799999999999997"/>
    <n v="77.599999999999994"/>
    <x v="77"/>
    <x v="11"/>
    <d v="2025-03-22T00:00:00"/>
    <x v="2"/>
    <x v="2"/>
    <x v="2"/>
    <x v="2"/>
    <x v="0"/>
    <x v="0"/>
    <x v="3"/>
  </r>
  <r>
    <x v="2114"/>
    <x v="5"/>
    <x v="21"/>
    <n v="86.9"/>
    <n v="1216.6000000000001"/>
    <x v="77"/>
    <x v="11"/>
    <d v="2025-03-24T00:00:00"/>
    <x v="0"/>
    <x v="2"/>
    <x v="2"/>
    <x v="1"/>
    <x v="0"/>
    <x v="0"/>
    <x v="3"/>
  </r>
  <r>
    <x v="2115"/>
    <x v="8"/>
    <x v="0"/>
    <n v="18.3"/>
    <n v="18.3"/>
    <x v="77"/>
    <x v="11"/>
    <d v="2025-03-20T00:00:00"/>
    <x v="3"/>
    <x v="2"/>
    <x v="2"/>
    <x v="0"/>
    <x v="0"/>
    <x v="0"/>
    <x v="3"/>
  </r>
  <r>
    <x v="2116"/>
    <x v="5"/>
    <x v="0"/>
    <n v="47.5"/>
    <n v="47.5"/>
    <x v="77"/>
    <x v="11"/>
    <d v="2025-03-23T00:00:00"/>
    <x v="5"/>
    <x v="1"/>
    <x v="1"/>
    <x v="4"/>
    <x v="2"/>
    <x v="0"/>
    <x v="3"/>
  </r>
  <r>
    <x v="2117"/>
    <x v="1"/>
    <x v="1"/>
    <n v="78.599999999999994"/>
    <n v="157.19999999999999"/>
    <x v="77"/>
    <x v="11"/>
    <d v="2025-03-20T00:00:00"/>
    <x v="3"/>
    <x v="1"/>
    <x v="1"/>
    <x v="2"/>
    <x v="2"/>
    <x v="0"/>
    <x v="3"/>
  </r>
  <r>
    <x v="2118"/>
    <x v="6"/>
    <x v="12"/>
    <n v="87.3"/>
    <n v="349.2"/>
    <x v="77"/>
    <x v="11"/>
    <d v="2025-03-20T00:00:00"/>
    <x v="3"/>
    <x v="1"/>
    <x v="1"/>
    <x v="0"/>
    <x v="0"/>
    <x v="0"/>
    <x v="3"/>
  </r>
  <r>
    <x v="2119"/>
    <x v="9"/>
    <x v="1"/>
    <n v="63.2"/>
    <n v="126.4"/>
    <x v="77"/>
    <x v="11"/>
    <d v="2025-03-19T00:00:00"/>
    <x v="7"/>
    <x v="1"/>
    <x v="1"/>
    <x v="4"/>
    <x v="1"/>
    <x v="0"/>
    <x v="3"/>
  </r>
  <r>
    <x v="2120"/>
    <x v="5"/>
    <x v="9"/>
    <n v="33.700000000000003"/>
    <n v="168.5"/>
    <x v="77"/>
    <x v="11"/>
    <d v="2025-03-20T00:00:00"/>
    <x v="3"/>
    <x v="2"/>
    <x v="2"/>
    <x v="0"/>
    <x v="0"/>
    <x v="0"/>
    <x v="3"/>
  </r>
  <r>
    <x v="2121"/>
    <x v="2"/>
    <x v="2"/>
    <n v="107.4"/>
    <n v="322.20000000000005"/>
    <x v="77"/>
    <x v="11"/>
    <d v="2025-04-01T00:00:00"/>
    <x v="10"/>
    <x v="2"/>
    <x v="2"/>
    <x v="1"/>
    <x v="2"/>
    <x v="0"/>
    <x v="3"/>
  </r>
  <r>
    <x v="2122"/>
    <x v="4"/>
    <x v="12"/>
    <n v="22.2"/>
    <n v="88.8"/>
    <x v="77"/>
    <x v="11"/>
    <d v="2025-03-20T00:00:00"/>
    <x v="3"/>
    <x v="0"/>
    <x v="0"/>
    <x v="1"/>
    <x v="2"/>
    <x v="0"/>
    <x v="24"/>
  </r>
  <r>
    <x v="2123"/>
    <x v="18"/>
    <x v="2"/>
    <n v="52.8"/>
    <n v="158.39999999999998"/>
    <x v="77"/>
    <x v="11"/>
    <d v="2025-03-20T00:00:00"/>
    <x v="3"/>
    <x v="1"/>
    <x v="1"/>
    <x v="3"/>
    <x v="2"/>
    <x v="0"/>
    <x v="24"/>
  </r>
  <r>
    <x v="2124"/>
    <x v="8"/>
    <x v="2"/>
    <n v="41.5"/>
    <n v="124.5"/>
    <x v="77"/>
    <x v="11"/>
    <d v="2025-03-22T00:00:00"/>
    <x v="2"/>
    <x v="2"/>
    <x v="2"/>
    <x v="0"/>
    <x v="0"/>
    <x v="0"/>
    <x v="25"/>
  </r>
  <r>
    <x v="2125"/>
    <x v="12"/>
    <x v="8"/>
    <n v="103.5"/>
    <n v="828"/>
    <x v="77"/>
    <x v="11"/>
    <d v="2025-03-22T00:00:00"/>
    <x v="2"/>
    <x v="2"/>
    <x v="2"/>
    <x v="0"/>
    <x v="2"/>
    <x v="0"/>
    <x v="23"/>
  </r>
  <r>
    <x v="2126"/>
    <x v="4"/>
    <x v="21"/>
    <n v="37.5"/>
    <n v="525"/>
    <x v="77"/>
    <x v="11"/>
    <d v="2025-03-19T00:00:00"/>
    <x v="7"/>
    <x v="2"/>
    <x v="2"/>
    <x v="1"/>
    <x v="2"/>
    <x v="0"/>
    <x v="6"/>
  </r>
  <r>
    <x v="2127"/>
    <x v="15"/>
    <x v="8"/>
    <n v="44.4"/>
    <n v="355.2"/>
    <x v="77"/>
    <x v="11"/>
    <d v="2025-03-25T00:00:00"/>
    <x v="4"/>
    <x v="2"/>
    <x v="2"/>
    <x v="3"/>
    <x v="2"/>
    <x v="0"/>
    <x v="7"/>
  </r>
  <r>
    <x v="2128"/>
    <x v="8"/>
    <x v="2"/>
    <n v="26.2"/>
    <n v="78.599999999999994"/>
    <x v="77"/>
    <x v="11"/>
    <d v="2025-03-20T00:00:00"/>
    <x v="3"/>
    <x v="1"/>
    <x v="1"/>
    <x v="0"/>
    <x v="0"/>
    <x v="0"/>
    <x v="8"/>
  </r>
  <r>
    <x v="2129"/>
    <x v="1"/>
    <x v="3"/>
    <n v="32.200000000000003"/>
    <n v="225.40000000000003"/>
    <x v="77"/>
    <x v="11"/>
    <d v="2025-03-20T00:00:00"/>
    <x v="3"/>
    <x v="2"/>
    <x v="2"/>
    <x v="1"/>
    <x v="2"/>
    <x v="0"/>
    <x v="8"/>
  </r>
  <r>
    <x v="2130"/>
    <x v="8"/>
    <x v="0"/>
    <n v="17.399999999999999"/>
    <n v="17.399999999999999"/>
    <x v="77"/>
    <x v="11"/>
    <d v="2025-03-23T00:00:00"/>
    <x v="5"/>
    <x v="0"/>
    <x v="0"/>
    <x v="2"/>
    <x v="1"/>
    <x v="0"/>
    <x v="8"/>
  </r>
  <r>
    <x v="2131"/>
    <x v="8"/>
    <x v="13"/>
    <n v="72.3"/>
    <n v="433.79999999999995"/>
    <x v="77"/>
    <x v="11"/>
    <d v="2025-03-22T00:00:00"/>
    <x v="2"/>
    <x v="2"/>
    <x v="2"/>
    <x v="0"/>
    <x v="0"/>
    <x v="0"/>
    <x v="8"/>
  </r>
  <r>
    <x v="2132"/>
    <x v="8"/>
    <x v="5"/>
    <n v="24.3"/>
    <n v="267.3"/>
    <x v="77"/>
    <x v="11"/>
    <d v="2025-03-20T00:00:00"/>
    <x v="3"/>
    <x v="1"/>
    <x v="1"/>
    <x v="0"/>
    <x v="0"/>
    <x v="0"/>
    <x v="8"/>
  </r>
  <r>
    <x v="2133"/>
    <x v="13"/>
    <x v="2"/>
    <n v="49.1"/>
    <n v="147.30000000000001"/>
    <x v="77"/>
    <x v="11"/>
    <d v="2025-03-25T00:00:00"/>
    <x v="4"/>
    <x v="1"/>
    <x v="1"/>
    <x v="2"/>
    <x v="4"/>
    <x v="0"/>
    <x v="8"/>
  </r>
  <r>
    <x v="2134"/>
    <x v="2"/>
    <x v="7"/>
    <n v="234.7"/>
    <n v="2347"/>
    <x v="77"/>
    <x v="11"/>
    <d v="2025-03-20T00:00:00"/>
    <x v="3"/>
    <x v="1"/>
    <x v="1"/>
    <x v="3"/>
    <x v="1"/>
    <x v="0"/>
    <x v="8"/>
  </r>
  <r>
    <x v="2135"/>
    <x v="3"/>
    <x v="9"/>
    <n v="76.099999999999994"/>
    <n v="380.5"/>
    <x v="77"/>
    <x v="11"/>
    <d v="2025-03-21T00:00:00"/>
    <x v="1"/>
    <x v="1"/>
    <x v="1"/>
    <x v="1"/>
    <x v="1"/>
    <x v="0"/>
    <x v="17"/>
  </r>
  <r>
    <x v="2136"/>
    <x v="1"/>
    <x v="2"/>
    <n v="93.9"/>
    <n v="281.70000000000005"/>
    <x v="77"/>
    <x v="11"/>
    <d v="2025-03-20T00:00:00"/>
    <x v="3"/>
    <x v="1"/>
    <x v="1"/>
    <x v="1"/>
    <x v="4"/>
    <x v="0"/>
    <x v="11"/>
  </r>
  <r>
    <x v="2137"/>
    <x v="2"/>
    <x v="12"/>
    <n v="187"/>
    <n v="748"/>
    <x v="78"/>
    <x v="11"/>
    <d v="2025-03-23T00:00:00"/>
    <x v="2"/>
    <x v="1"/>
    <x v="1"/>
    <x v="0"/>
    <x v="0"/>
    <x v="0"/>
    <x v="11"/>
  </r>
  <r>
    <x v="2138"/>
    <x v="8"/>
    <x v="1"/>
    <n v="18"/>
    <n v="36"/>
    <x v="78"/>
    <x v="11"/>
    <d v="2025-03-21T00:00:00"/>
    <x v="3"/>
    <x v="2"/>
    <x v="2"/>
    <x v="1"/>
    <x v="2"/>
    <x v="0"/>
    <x v="53"/>
  </r>
  <r>
    <x v="2139"/>
    <x v="4"/>
    <x v="0"/>
    <n v="24.4"/>
    <n v="24.4"/>
    <x v="78"/>
    <x v="11"/>
    <d v="2025-03-21T00:00:00"/>
    <x v="3"/>
    <x v="2"/>
    <x v="2"/>
    <x v="4"/>
    <x v="2"/>
    <x v="0"/>
    <x v="21"/>
  </r>
  <r>
    <x v="2140"/>
    <x v="10"/>
    <x v="1"/>
    <n v="38.799999999999997"/>
    <n v="77.599999999999994"/>
    <x v="78"/>
    <x v="11"/>
    <d v="2025-03-21T00:00:00"/>
    <x v="3"/>
    <x v="1"/>
    <x v="1"/>
    <x v="4"/>
    <x v="1"/>
    <x v="0"/>
    <x v="3"/>
  </r>
  <r>
    <x v="2141"/>
    <x v="3"/>
    <x v="0"/>
    <n v="59.7"/>
    <n v="59.7"/>
    <x v="78"/>
    <x v="11"/>
    <d v="2025-03-23T00:00:00"/>
    <x v="2"/>
    <x v="1"/>
    <x v="1"/>
    <x v="3"/>
    <x v="0"/>
    <x v="0"/>
    <x v="3"/>
  </r>
  <r>
    <x v="2142"/>
    <x v="7"/>
    <x v="0"/>
    <n v="31.2"/>
    <n v="31.2"/>
    <x v="78"/>
    <x v="11"/>
    <d v="2025-03-21T00:00:00"/>
    <x v="3"/>
    <x v="1"/>
    <x v="1"/>
    <x v="1"/>
    <x v="2"/>
    <x v="0"/>
    <x v="3"/>
  </r>
  <r>
    <x v="2143"/>
    <x v="0"/>
    <x v="0"/>
    <n v="16.8"/>
    <n v="16.8"/>
    <x v="78"/>
    <x v="11"/>
    <d v="2025-03-21T00:00:00"/>
    <x v="3"/>
    <x v="2"/>
    <x v="2"/>
    <x v="2"/>
    <x v="1"/>
    <x v="0"/>
    <x v="3"/>
  </r>
  <r>
    <x v="2144"/>
    <x v="8"/>
    <x v="0"/>
    <n v="46"/>
    <n v="46"/>
    <x v="78"/>
    <x v="11"/>
    <d v="2025-03-21T00:00:00"/>
    <x v="3"/>
    <x v="1"/>
    <x v="1"/>
    <x v="0"/>
    <x v="0"/>
    <x v="0"/>
    <x v="3"/>
  </r>
  <r>
    <x v="2145"/>
    <x v="9"/>
    <x v="8"/>
    <n v="42.2"/>
    <n v="337.6"/>
    <x v="78"/>
    <x v="11"/>
    <d v="2025-03-23T00:00:00"/>
    <x v="2"/>
    <x v="2"/>
    <x v="2"/>
    <x v="3"/>
    <x v="2"/>
    <x v="0"/>
    <x v="3"/>
  </r>
  <r>
    <x v="2146"/>
    <x v="1"/>
    <x v="2"/>
    <n v="71.5"/>
    <n v="214.5"/>
    <x v="78"/>
    <x v="11"/>
    <d v="2025-04-03T00:00:00"/>
    <x v="12"/>
    <x v="2"/>
    <x v="2"/>
    <x v="0"/>
    <x v="0"/>
    <x v="0"/>
    <x v="3"/>
  </r>
  <r>
    <x v="2147"/>
    <x v="1"/>
    <x v="1"/>
    <n v="76.599999999999994"/>
    <n v="153.19999999999999"/>
    <x v="78"/>
    <x v="11"/>
    <d v="2025-03-20T00:00:00"/>
    <x v="7"/>
    <x v="1"/>
    <x v="1"/>
    <x v="0"/>
    <x v="2"/>
    <x v="0"/>
    <x v="3"/>
  </r>
  <r>
    <x v="2148"/>
    <x v="12"/>
    <x v="1"/>
    <n v="87.3"/>
    <n v="174.6"/>
    <x v="78"/>
    <x v="11"/>
    <d v="2025-03-28T00:00:00"/>
    <x v="9"/>
    <x v="2"/>
    <x v="2"/>
    <x v="3"/>
    <x v="2"/>
    <x v="0"/>
    <x v="3"/>
  </r>
  <r>
    <x v="2149"/>
    <x v="1"/>
    <x v="0"/>
    <n v="63"/>
    <n v="63"/>
    <x v="78"/>
    <x v="11"/>
    <d v="2025-03-23T00:00:00"/>
    <x v="2"/>
    <x v="1"/>
    <x v="1"/>
    <x v="3"/>
    <x v="0"/>
    <x v="0"/>
    <x v="3"/>
  </r>
  <r>
    <x v="2150"/>
    <x v="8"/>
    <x v="1"/>
    <n v="41.7"/>
    <n v="83.4"/>
    <x v="78"/>
    <x v="11"/>
    <d v="2025-03-21T00:00:00"/>
    <x v="3"/>
    <x v="2"/>
    <x v="2"/>
    <x v="4"/>
    <x v="1"/>
    <x v="0"/>
    <x v="43"/>
  </r>
  <r>
    <x v="2151"/>
    <x v="6"/>
    <x v="1"/>
    <n v="76.099999999999994"/>
    <n v="152.19999999999999"/>
    <x v="78"/>
    <x v="11"/>
    <d v="2025-03-20T00:00:00"/>
    <x v="7"/>
    <x v="2"/>
    <x v="2"/>
    <x v="4"/>
    <x v="2"/>
    <x v="0"/>
    <x v="16"/>
  </r>
  <r>
    <x v="2152"/>
    <x v="13"/>
    <x v="1"/>
    <n v="28.5"/>
    <n v="57"/>
    <x v="78"/>
    <x v="11"/>
    <d v="2025-03-21T00:00:00"/>
    <x v="3"/>
    <x v="2"/>
    <x v="2"/>
    <x v="0"/>
    <x v="2"/>
    <x v="0"/>
    <x v="4"/>
  </r>
  <r>
    <x v="2153"/>
    <x v="0"/>
    <x v="12"/>
    <n v="32.1"/>
    <n v="128.4"/>
    <x v="78"/>
    <x v="11"/>
    <d v="2025-03-21T00:00:00"/>
    <x v="3"/>
    <x v="2"/>
    <x v="2"/>
    <x v="1"/>
    <x v="2"/>
    <x v="0"/>
    <x v="25"/>
  </r>
  <r>
    <x v="2154"/>
    <x v="4"/>
    <x v="2"/>
    <n v="39"/>
    <n v="117"/>
    <x v="78"/>
    <x v="11"/>
    <d v="2025-03-23T00:00:00"/>
    <x v="2"/>
    <x v="1"/>
    <x v="1"/>
    <x v="1"/>
    <x v="2"/>
    <x v="0"/>
    <x v="25"/>
  </r>
  <r>
    <x v="2155"/>
    <x v="6"/>
    <x v="0"/>
    <n v="78.5"/>
    <n v="78.5"/>
    <x v="78"/>
    <x v="11"/>
    <d v="2025-03-21T00:00:00"/>
    <x v="3"/>
    <x v="1"/>
    <x v="1"/>
    <x v="1"/>
    <x v="0"/>
    <x v="0"/>
    <x v="6"/>
  </r>
  <r>
    <x v="2156"/>
    <x v="4"/>
    <x v="9"/>
    <n v="49.7"/>
    <n v="248.5"/>
    <x v="78"/>
    <x v="11"/>
    <d v="2025-03-22T00:00:00"/>
    <x v="1"/>
    <x v="2"/>
    <x v="2"/>
    <x v="0"/>
    <x v="0"/>
    <x v="0"/>
    <x v="6"/>
  </r>
  <r>
    <x v="2157"/>
    <x v="1"/>
    <x v="12"/>
    <n v="68.400000000000006"/>
    <n v="273.60000000000002"/>
    <x v="78"/>
    <x v="11"/>
    <d v="2025-03-21T00:00:00"/>
    <x v="3"/>
    <x v="2"/>
    <x v="2"/>
    <x v="2"/>
    <x v="2"/>
    <x v="0"/>
    <x v="7"/>
  </r>
  <r>
    <x v="2158"/>
    <x v="3"/>
    <x v="1"/>
    <n v="72.900000000000006"/>
    <n v="145.80000000000001"/>
    <x v="78"/>
    <x v="11"/>
    <d v="2025-03-23T00:00:00"/>
    <x v="2"/>
    <x v="0"/>
    <x v="0"/>
    <x v="0"/>
    <x v="2"/>
    <x v="0"/>
    <x v="7"/>
  </r>
  <r>
    <x v="2159"/>
    <x v="5"/>
    <x v="15"/>
    <n v="30.3"/>
    <n v="393.90000000000003"/>
    <x v="78"/>
    <x v="11"/>
    <d v="2025-03-21T00:00:00"/>
    <x v="3"/>
    <x v="1"/>
    <x v="1"/>
    <x v="4"/>
    <x v="0"/>
    <x v="0"/>
    <x v="7"/>
  </r>
  <r>
    <x v="2160"/>
    <x v="6"/>
    <x v="5"/>
    <n v="57.9"/>
    <n v="636.9"/>
    <x v="78"/>
    <x v="11"/>
    <d v="2025-03-21T00:00:00"/>
    <x v="3"/>
    <x v="2"/>
    <x v="2"/>
    <x v="0"/>
    <x v="0"/>
    <x v="0"/>
    <x v="8"/>
  </r>
  <r>
    <x v="2161"/>
    <x v="1"/>
    <x v="0"/>
    <n v="96.7"/>
    <n v="96.7"/>
    <x v="78"/>
    <x v="11"/>
    <d v="2025-03-21T00:00:00"/>
    <x v="3"/>
    <x v="1"/>
    <x v="1"/>
    <x v="0"/>
    <x v="0"/>
    <x v="0"/>
    <x v="8"/>
  </r>
  <r>
    <x v="2162"/>
    <x v="8"/>
    <x v="4"/>
    <n v="27.6"/>
    <n v="331.20000000000005"/>
    <x v="78"/>
    <x v="11"/>
    <d v="2025-03-22T00:00:00"/>
    <x v="1"/>
    <x v="1"/>
    <x v="1"/>
    <x v="2"/>
    <x v="2"/>
    <x v="0"/>
    <x v="8"/>
  </r>
  <r>
    <x v="2163"/>
    <x v="6"/>
    <x v="12"/>
    <n v="64.7"/>
    <n v="258.8"/>
    <x v="78"/>
    <x v="11"/>
    <d v="2025-03-20T00:00:00"/>
    <x v="7"/>
    <x v="1"/>
    <x v="1"/>
    <x v="3"/>
    <x v="2"/>
    <x v="0"/>
    <x v="8"/>
  </r>
  <r>
    <x v="2164"/>
    <x v="10"/>
    <x v="13"/>
    <n v="30.5"/>
    <n v="183"/>
    <x v="78"/>
    <x v="11"/>
    <d v="2025-03-21T00:00:00"/>
    <x v="3"/>
    <x v="1"/>
    <x v="1"/>
    <x v="4"/>
    <x v="0"/>
    <x v="0"/>
    <x v="8"/>
  </r>
  <r>
    <x v="2165"/>
    <x v="6"/>
    <x v="47"/>
    <n v="106"/>
    <n v="7420"/>
    <x v="79"/>
    <x v="11"/>
    <d v="2025-03-23T00:00:00"/>
    <x v="1"/>
    <x v="1"/>
    <x v="1"/>
    <x v="4"/>
    <x v="2"/>
    <x v="0"/>
    <x v="8"/>
  </r>
  <r>
    <x v="2166"/>
    <x v="12"/>
    <x v="9"/>
    <n v="76.8"/>
    <n v="384"/>
    <x v="79"/>
    <x v="11"/>
    <d v="2025-03-27T00:00:00"/>
    <x v="4"/>
    <x v="0"/>
    <x v="0"/>
    <x v="1"/>
    <x v="1"/>
    <x v="0"/>
    <x v="18"/>
  </r>
  <r>
    <x v="2167"/>
    <x v="6"/>
    <x v="1"/>
    <n v="80.400000000000006"/>
    <n v="160.80000000000001"/>
    <x v="79"/>
    <x v="11"/>
    <d v="2025-03-22T00:00:00"/>
    <x v="3"/>
    <x v="2"/>
    <x v="2"/>
    <x v="2"/>
    <x v="0"/>
    <x v="0"/>
    <x v="13"/>
  </r>
  <r>
    <x v="2168"/>
    <x v="6"/>
    <x v="12"/>
    <n v="69.099999999999994"/>
    <n v="276.39999999999998"/>
    <x v="79"/>
    <x v="11"/>
    <d v="2025-03-22T00:00:00"/>
    <x v="3"/>
    <x v="1"/>
    <x v="1"/>
    <x v="1"/>
    <x v="2"/>
    <x v="0"/>
    <x v="21"/>
  </r>
  <r>
    <x v="2169"/>
    <x v="18"/>
    <x v="1"/>
    <n v="76.400000000000006"/>
    <n v="152.80000000000001"/>
    <x v="79"/>
    <x v="11"/>
    <d v="2025-03-21T00:00:00"/>
    <x v="7"/>
    <x v="1"/>
    <x v="1"/>
    <x v="3"/>
    <x v="0"/>
    <x v="0"/>
    <x v="21"/>
  </r>
  <r>
    <x v="2170"/>
    <x v="2"/>
    <x v="1"/>
    <n v="61.3"/>
    <n v="122.6"/>
    <x v="79"/>
    <x v="11"/>
    <d v="2025-03-22T00:00:00"/>
    <x v="3"/>
    <x v="2"/>
    <x v="2"/>
    <x v="1"/>
    <x v="1"/>
    <x v="0"/>
    <x v="21"/>
  </r>
  <r>
    <x v="2171"/>
    <x v="7"/>
    <x v="0"/>
    <n v="58"/>
    <n v="58"/>
    <x v="79"/>
    <x v="11"/>
    <d v="2025-03-22T00:00:00"/>
    <x v="3"/>
    <x v="1"/>
    <x v="1"/>
    <x v="3"/>
    <x v="1"/>
    <x v="0"/>
    <x v="1"/>
  </r>
  <r>
    <x v="2172"/>
    <x v="2"/>
    <x v="8"/>
    <n v="102.3"/>
    <n v="818.4"/>
    <x v="79"/>
    <x v="11"/>
    <d v="2025-03-23T00:00:00"/>
    <x v="1"/>
    <x v="1"/>
    <x v="1"/>
    <x v="2"/>
    <x v="0"/>
    <x v="0"/>
    <x v="42"/>
  </r>
  <r>
    <x v="2173"/>
    <x v="19"/>
    <x v="1"/>
    <n v="13.8"/>
    <n v="27.6"/>
    <x v="79"/>
    <x v="11"/>
    <d v="2025-03-22T00:00:00"/>
    <x v="3"/>
    <x v="2"/>
    <x v="2"/>
    <x v="4"/>
    <x v="2"/>
    <x v="0"/>
    <x v="2"/>
  </r>
  <r>
    <x v="2174"/>
    <x v="8"/>
    <x v="2"/>
    <n v="33.299999999999997"/>
    <n v="99.899999999999991"/>
    <x v="79"/>
    <x v="11"/>
    <d v="2025-03-24T00:00:00"/>
    <x v="2"/>
    <x v="2"/>
    <x v="2"/>
    <x v="2"/>
    <x v="0"/>
    <x v="0"/>
    <x v="22"/>
  </r>
  <r>
    <x v="2175"/>
    <x v="10"/>
    <x v="0"/>
    <n v="27.4"/>
    <n v="27.4"/>
    <x v="79"/>
    <x v="11"/>
    <d v="2025-03-24T00:00:00"/>
    <x v="2"/>
    <x v="1"/>
    <x v="1"/>
    <x v="0"/>
    <x v="2"/>
    <x v="0"/>
    <x v="22"/>
  </r>
  <r>
    <x v="2176"/>
    <x v="14"/>
    <x v="1"/>
    <n v="25.6"/>
    <n v="51.2"/>
    <x v="79"/>
    <x v="11"/>
    <d v="2025-03-22T00:00:00"/>
    <x v="3"/>
    <x v="2"/>
    <x v="2"/>
    <x v="1"/>
    <x v="1"/>
    <x v="0"/>
    <x v="3"/>
  </r>
  <r>
    <x v="2177"/>
    <x v="13"/>
    <x v="0"/>
    <n v="58.4"/>
    <n v="58.4"/>
    <x v="79"/>
    <x v="11"/>
    <d v="2025-03-22T00:00:00"/>
    <x v="3"/>
    <x v="2"/>
    <x v="2"/>
    <x v="2"/>
    <x v="2"/>
    <x v="0"/>
    <x v="3"/>
  </r>
  <r>
    <x v="2178"/>
    <x v="11"/>
    <x v="17"/>
    <n v="27"/>
    <n v="810"/>
    <x v="79"/>
    <x v="11"/>
    <d v="2025-03-22T00:00:00"/>
    <x v="3"/>
    <x v="2"/>
    <x v="2"/>
    <x v="4"/>
    <x v="0"/>
    <x v="0"/>
    <x v="3"/>
  </r>
  <r>
    <x v="2179"/>
    <x v="0"/>
    <x v="12"/>
    <n v="14.2"/>
    <n v="56.8"/>
    <x v="79"/>
    <x v="11"/>
    <d v="2025-03-22T00:00:00"/>
    <x v="3"/>
    <x v="1"/>
    <x v="1"/>
    <x v="0"/>
    <x v="2"/>
    <x v="0"/>
    <x v="3"/>
  </r>
  <r>
    <x v="2180"/>
    <x v="7"/>
    <x v="1"/>
    <n v="68"/>
    <n v="136"/>
    <x v="79"/>
    <x v="11"/>
    <d v="2025-03-31T00:00:00"/>
    <x v="14"/>
    <x v="1"/>
    <x v="1"/>
    <x v="2"/>
    <x v="1"/>
    <x v="0"/>
    <x v="3"/>
  </r>
  <r>
    <x v="2181"/>
    <x v="8"/>
    <x v="0"/>
    <n v="30.7"/>
    <n v="30.7"/>
    <x v="79"/>
    <x v="11"/>
    <d v="2025-03-22T00:00:00"/>
    <x v="3"/>
    <x v="1"/>
    <x v="1"/>
    <x v="0"/>
    <x v="0"/>
    <x v="0"/>
    <x v="3"/>
  </r>
  <r>
    <x v="2182"/>
    <x v="17"/>
    <x v="15"/>
    <n v="51.6"/>
    <n v="670.80000000000007"/>
    <x v="79"/>
    <x v="11"/>
    <d v="2025-03-24T00:00:00"/>
    <x v="2"/>
    <x v="3"/>
    <x v="3"/>
    <x v="1"/>
    <x v="2"/>
    <x v="0"/>
    <x v="3"/>
  </r>
  <r>
    <x v="2183"/>
    <x v="8"/>
    <x v="2"/>
    <n v="20.6"/>
    <n v="61.800000000000004"/>
    <x v="79"/>
    <x v="11"/>
    <d v="2025-03-25T00:00:00"/>
    <x v="5"/>
    <x v="2"/>
    <x v="2"/>
    <x v="4"/>
    <x v="2"/>
    <x v="0"/>
    <x v="3"/>
  </r>
  <r>
    <x v="2184"/>
    <x v="8"/>
    <x v="0"/>
    <n v="24.8"/>
    <n v="24.8"/>
    <x v="79"/>
    <x v="11"/>
    <d v="2025-03-22T00:00:00"/>
    <x v="3"/>
    <x v="1"/>
    <x v="1"/>
    <x v="4"/>
    <x v="0"/>
    <x v="0"/>
    <x v="3"/>
  </r>
  <r>
    <x v="2185"/>
    <x v="0"/>
    <x v="3"/>
    <n v="11.2"/>
    <n v="78.399999999999991"/>
    <x v="79"/>
    <x v="11"/>
    <d v="2025-03-24T00:00:00"/>
    <x v="2"/>
    <x v="1"/>
    <x v="1"/>
    <x v="1"/>
    <x v="0"/>
    <x v="0"/>
    <x v="3"/>
  </r>
  <r>
    <x v="2186"/>
    <x v="11"/>
    <x v="1"/>
    <n v="51.2"/>
    <n v="102.4"/>
    <x v="79"/>
    <x v="11"/>
    <d v="2025-03-22T00:00:00"/>
    <x v="3"/>
    <x v="2"/>
    <x v="2"/>
    <x v="1"/>
    <x v="2"/>
    <x v="0"/>
    <x v="3"/>
  </r>
  <r>
    <x v="2187"/>
    <x v="7"/>
    <x v="13"/>
    <n v="90.5"/>
    <n v="543"/>
    <x v="79"/>
    <x v="11"/>
    <d v="2025-03-22T00:00:00"/>
    <x v="3"/>
    <x v="2"/>
    <x v="2"/>
    <x v="1"/>
    <x v="4"/>
    <x v="0"/>
    <x v="3"/>
  </r>
  <r>
    <x v="2188"/>
    <x v="1"/>
    <x v="1"/>
    <n v="42.4"/>
    <n v="84.8"/>
    <x v="79"/>
    <x v="11"/>
    <d v="2025-03-22T00:00:00"/>
    <x v="3"/>
    <x v="1"/>
    <x v="1"/>
    <x v="1"/>
    <x v="2"/>
    <x v="0"/>
    <x v="4"/>
  </r>
  <r>
    <x v="2189"/>
    <x v="1"/>
    <x v="1"/>
    <n v="38.200000000000003"/>
    <n v="76.400000000000006"/>
    <x v="79"/>
    <x v="11"/>
    <d v="2025-03-22T00:00:00"/>
    <x v="3"/>
    <x v="1"/>
    <x v="1"/>
    <x v="0"/>
    <x v="0"/>
    <x v="0"/>
    <x v="5"/>
  </r>
  <r>
    <x v="2190"/>
    <x v="2"/>
    <x v="11"/>
    <n v="121.3"/>
    <n v="1091.7"/>
    <x v="79"/>
    <x v="11"/>
    <d v="2025-03-26T00:00:00"/>
    <x v="0"/>
    <x v="1"/>
    <x v="1"/>
    <x v="0"/>
    <x v="0"/>
    <x v="0"/>
    <x v="6"/>
  </r>
  <r>
    <x v="2191"/>
    <x v="6"/>
    <x v="1"/>
    <n v="46.9"/>
    <n v="93.8"/>
    <x v="79"/>
    <x v="11"/>
    <d v="2025-03-28T00:00:00"/>
    <x v="6"/>
    <x v="1"/>
    <x v="1"/>
    <x v="0"/>
    <x v="0"/>
    <x v="0"/>
    <x v="8"/>
  </r>
  <r>
    <x v="2192"/>
    <x v="10"/>
    <x v="0"/>
    <n v="55.3"/>
    <n v="55.3"/>
    <x v="79"/>
    <x v="11"/>
    <d v="2025-03-23T00:00:00"/>
    <x v="1"/>
    <x v="1"/>
    <x v="1"/>
    <x v="0"/>
    <x v="0"/>
    <x v="0"/>
    <x v="8"/>
  </r>
  <r>
    <x v="2193"/>
    <x v="2"/>
    <x v="2"/>
    <n v="70.599999999999994"/>
    <n v="211.79999999999998"/>
    <x v="80"/>
    <x v="11"/>
    <d v="2025-03-22T00:00:00"/>
    <x v="7"/>
    <x v="2"/>
    <x v="2"/>
    <x v="0"/>
    <x v="1"/>
    <x v="0"/>
    <x v="8"/>
  </r>
  <r>
    <x v="2194"/>
    <x v="14"/>
    <x v="12"/>
    <n v="26.1"/>
    <n v="104.4"/>
    <x v="80"/>
    <x v="11"/>
    <d v="2025-03-24T00:00:00"/>
    <x v="1"/>
    <x v="1"/>
    <x v="1"/>
    <x v="0"/>
    <x v="0"/>
    <x v="0"/>
    <x v="8"/>
  </r>
  <r>
    <x v="2195"/>
    <x v="9"/>
    <x v="5"/>
    <n v="34.5"/>
    <n v="379.5"/>
    <x v="80"/>
    <x v="11"/>
    <d v="2025-03-26T00:00:00"/>
    <x v="5"/>
    <x v="1"/>
    <x v="1"/>
    <x v="2"/>
    <x v="0"/>
    <x v="0"/>
    <x v="17"/>
  </r>
  <r>
    <x v="2196"/>
    <x v="1"/>
    <x v="1"/>
    <n v="64.2"/>
    <n v="128.4"/>
    <x v="80"/>
    <x v="11"/>
    <d v="2025-03-23T00:00:00"/>
    <x v="3"/>
    <x v="2"/>
    <x v="2"/>
    <x v="0"/>
    <x v="1"/>
    <x v="0"/>
    <x v="17"/>
  </r>
  <r>
    <x v="2197"/>
    <x v="2"/>
    <x v="12"/>
    <n v="145.69999999999999"/>
    <n v="582.79999999999995"/>
    <x v="80"/>
    <x v="11"/>
    <d v="2025-03-23T00:00:00"/>
    <x v="3"/>
    <x v="2"/>
    <x v="2"/>
    <x v="0"/>
    <x v="4"/>
    <x v="0"/>
    <x v="17"/>
  </r>
  <r>
    <x v="2198"/>
    <x v="12"/>
    <x v="1"/>
    <n v="78.5"/>
    <n v="157"/>
    <x v="80"/>
    <x v="11"/>
    <d v="2025-03-23T00:00:00"/>
    <x v="3"/>
    <x v="1"/>
    <x v="1"/>
    <x v="2"/>
    <x v="0"/>
    <x v="0"/>
    <x v="26"/>
  </r>
  <r>
    <x v="2199"/>
    <x v="1"/>
    <x v="0"/>
    <n v="34.200000000000003"/>
    <n v="34.200000000000003"/>
    <x v="80"/>
    <x v="11"/>
    <d v="2025-03-24T00:00:00"/>
    <x v="1"/>
    <x v="1"/>
    <x v="1"/>
    <x v="0"/>
    <x v="0"/>
    <x v="0"/>
    <x v="9"/>
  </r>
  <r>
    <x v="2200"/>
    <x v="19"/>
    <x v="0"/>
    <n v="26.2"/>
    <n v="26.2"/>
    <x v="80"/>
    <x v="11"/>
    <d v="2025-03-23T00:00:00"/>
    <x v="3"/>
    <x v="1"/>
    <x v="1"/>
    <x v="2"/>
    <x v="0"/>
    <x v="0"/>
    <x v="9"/>
  </r>
  <r>
    <x v="2201"/>
    <x v="6"/>
    <x v="12"/>
    <n v="53.2"/>
    <n v="212.8"/>
    <x v="80"/>
    <x v="11"/>
    <d v="2025-03-23T00:00:00"/>
    <x v="3"/>
    <x v="1"/>
    <x v="1"/>
    <x v="1"/>
    <x v="1"/>
    <x v="0"/>
    <x v="11"/>
  </r>
  <r>
    <x v="2202"/>
    <x v="1"/>
    <x v="0"/>
    <n v="35.4"/>
    <n v="35.4"/>
    <x v="80"/>
    <x v="11"/>
    <d v="2025-03-26T00:00:00"/>
    <x v="5"/>
    <x v="1"/>
    <x v="1"/>
    <x v="1"/>
    <x v="4"/>
    <x v="0"/>
    <x v="18"/>
  </r>
  <r>
    <x v="2203"/>
    <x v="14"/>
    <x v="1"/>
    <n v="21.3"/>
    <n v="42.6"/>
    <x v="80"/>
    <x v="11"/>
    <d v="2025-03-23T00:00:00"/>
    <x v="3"/>
    <x v="1"/>
    <x v="1"/>
    <x v="2"/>
    <x v="0"/>
    <x v="0"/>
    <x v="20"/>
  </r>
  <r>
    <x v="2204"/>
    <x v="8"/>
    <x v="12"/>
    <n v="32.9"/>
    <n v="131.6"/>
    <x v="80"/>
    <x v="11"/>
    <d v="2025-03-25T00:00:00"/>
    <x v="2"/>
    <x v="2"/>
    <x v="2"/>
    <x v="4"/>
    <x v="2"/>
    <x v="0"/>
    <x v="21"/>
  </r>
  <r>
    <x v="2205"/>
    <x v="5"/>
    <x v="20"/>
    <n v="85.5"/>
    <n v="1282.5"/>
    <x v="80"/>
    <x v="11"/>
    <d v="2025-03-24T00:00:00"/>
    <x v="1"/>
    <x v="2"/>
    <x v="2"/>
    <x v="3"/>
    <x v="1"/>
    <x v="0"/>
    <x v="21"/>
  </r>
  <r>
    <x v="2206"/>
    <x v="4"/>
    <x v="0"/>
    <n v="26.8"/>
    <n v="26.8"/>
    <x v="80"/>
    <x v="11"/>
    <d v="2025-03-23T00:00:00"/>
    <x v="3"/>
    <x v="2"/>
    <x v="2"/>
    <x v="0"/>
    <x v="1"/>
    <x v="0"/>
    <x v="2"/>
  </r>
  <r>
    <x v="2207"/>
    <x v="9"/>
    <x v="18"/>
    <n v="31.7"/>
    <n v="824.19999999999993"/>
    <x v="80"/>
    <x v="11"/>
    <d v="2025-03-22T00:00:00"/>
    <x v="7"/>
    <x v="2"/>
    <x v="2"/>
    <x v="3"/>
    <x v="0"/>
    <x v="0"/>
    <x v="2"/>
  </r>
  <r>
    <x v="2208"/>
    <x v="1"/>
    <x v="1"/>
    <n v="78.3"/>
    <n v="156.6"/>
    <x v="80"/>
    <x v="11"/>
    <d v="2025-03-24T00:00:00"/>
    <x v="1"/>
    <x v="2"/>
    <x v="2"/>
    <x v="1"/>
    <x v="1"/>
    <x v="0"/>
    <x v="3"/>
  </r>
  <r>
    <x v="2209"/>
    <x v="6"/>
    <x v="0"/>
    <n v="43.9"/>
    <n v="43.9"/>
    <x v="80"/>
    <x v="11"/>
    <d v="2025-03-23T00:00:00"/>
    <x v="3"/>
    <x v="1"/>
    <x v="1"/>
    <x v="0"/>
    <x v="0"/>
    <x v="0"/>
    <x v="3"/>
  </r>
  <r>
    <x v="2210"/>
    <x v="18"/>
    <x v="2"/>
    <n v="84"/>
    <n v="252"/>
    <x v="80"/>
    <x v="11"/>
    <d v="2025-03-24T00:00:00"/>
    <x v="1"/>
    <x v="0"/>
    <x v="0"/>
    <x v="3"/>
    <x v="2"/>
    <x v="0"/>
    <x v="3"/>
  </r>
  <r>
    <x v="2211"/>
    <x v="0"/>
    <x v="2"/>
    <n v="11.4"/>
    <n v="34.200000000000003"/>
    <x v="80"/>
    <x v="11"/>
    <d v="2025-03-23T00:00:00"/>
    <x v="3"/>
    <x v="1"/>
    <x v="1"/>
    <x v="4"/>
    <x v="0"/>
    <x v="0"/>
    <x v="3"/>
  </r>
  <r>
    <x v="2212"/>
    <x v="12"/>
    <x v="8"/>
    <n v="47.5"/>
    <n v="380"/>
    <x v="80"/>
    <x v="11"/>
    <d v="2025-03-30T00:00:00"/>
    <x v="9"/>
    <x v="2"/>
    <x v="2"/>
    <x v="0"/>
    <x v="0"/>
    <x v="0"/>
    <x v="3"/>
  </r>
  <r>
    <x v="2213"/>
    <x v="9"/>
    <x v="5"/>
    <n v="50.5"/>
    <n v="555.5"/>
    <x v="80"/>
    <x v="11"/>
    <d v="2025-03-24T00:00:00"/>
    <x v="1"/>
    <x v="1"/>
    <x v="1"/>
    <x v="2"/>
    <x v="0"/>
    <x v="0"/>
    <x v="3"/>
  </r>
  <r>
    <x v="2214"/>
    <x v="15"/>
    <x v="0"/>
    <n v="36.299999999999997"/>
    <n v="36.299999999999997"/>
    <x v="80"/>
    <x v="11"/>
    <d v="2025-03-25T00:00:00"/>
    <x v="2"/>
    <x v="3"/>
    <x v="3"/>
    <x v="0"/>
    <x v="1"/>
    <x v="0"/>
    <x v="8"/>
  </r>
  <r>
    <x v="2215"/>
    <x v="8"/>
    <x v="1"/>
    <n v="35.4"/>
    <n v="70.8"/>
    <x v="80"/>
    <x v="11"/>
    <d v="2025-03-23T00:00:00"/>
    <x v="3"/>
    <x v="2"/>
    <x v="2"/>
    <x v="0"/>
    <x v="0"/>
    <x v="0"/>
    <x v="17"/>
  </r>
  <r>
    <x v="2216"/>
    <x v="1"/>
    <x v="2"/>
    <n v="45.9"/>
    <n v="137.69999999999999"/>
    <x v="81"/>
    <x v="12"/>
    <d v="2025-03-24T00:00:00"/>
    <x v="3"/>
    <x v="1"/>
    <x v="1"/>
    <x v="3"/>
    <x v="0"/>
    <x v="0"/>
    <x v="9"/>
  </r>
  <r>
    <x v="2217"/>
    <x v="6"/>
    <x v="7"/>
    <n v="41.2"/>
    <n v="412"/>
    <x v="81"/>
    <x v="12"/>
    <d v="2025-03-27T00:00:00"/>
    <x v="5"/>
    <x v="1"/>
    <x v="1"/>
    <x v="0"/>
    <x v="0"/>
    <x v="0"/>
    <x v="11"/>
  </r>
  <r>
    <x v="2218"/>
    <x v="17"/>
    <x v="1"/>
    <n v="45.1"/>
    <n v="90.2"/>
    <x v="81"/>
    <x v="12"/>
    <d v="2025-03-24T00:00:00"/>
    <x v="3"/>
    <x v="1"/>
    <x v="1"/>
    <x v="1"/>
    <x v="1"/>
    <x v="0"/>
    <x v="21"/>
  </r>
  <r>
    <x v="2219"/>
    <x v="6"/>
    <x v="7"/>
    <n v="63.6"/>
    <n v="636"/>
    <x v="81"/>
    <x v="12"/>
    <d v="2025-03-23T00:00:00"/>
    <x v="7"/>
    <x v="1"/>
    <x v="1"/>
    <x v="2"/>
    <x v="0"/>
    <x v="0"/>
    <x v="1"/>
  </r>
  <r>
    <x v="2220"/>
    <x v="8"/>
    <x v="0"/>
    <n v="70.5"/>
    <n v="70.5"/>
    <x v="81"/>
    <x v="12"/>
    <d v="2025-03-24T00:00:00"/>
    <x v="3"/>
    <x v="1"/>
    <x v="1"/>
    <x v="0"/>
    <x v="0"/>
    <x v="0"/>
    <x v="3"/>
  </r>
  <r>
    <x v="2221"/>
    <x v="6"/>
    <x v="0"/>
    <n v="41.3"/>
    <n v="41.3"/>
    <x v="81"/>
    <x v="12"/>
    <d v="2025-03-23T00:00:00"/>
    <x v="7"/>
    <x v="1"/>
    <x v="1"/>
    <x v="4"/>
    <x v="0"/>
    <x v="0"/>
    <x v="3"/>
  </r>
  <r>
    <x v="2222"/>
    <x v="4"/>
    <x v="0"/>
    <n v="35.299999999999997"/>
    <n v="35.299999999999997"/>
    <x v="81"/>
    <x v="12"/>
    <d v="2025-03-26T00:00:00"/>
    <x v="2"/>
    <x v="2"/>
    <x v="2"/>
    <x v="4"/>
    <x v="2"/>
    <x v="0"/>
    <x v="3"/>
  </r>
  <r>
    <x v="2223"/>
    <x v="8"/>
    <x v="9"/>
    <n v="34.700000000000003"/>
    <n v="173.5"/>
    <x v="81"/>
    <x v="12"/>
    <d v="2025-03-24T00:00:00"/>
    <x v="3"/>
    <x v="2"/>
    <x v="2"/>
    <x v="0"/>
    <x v="2"/>
    <x v="0"/>
    <x v="3"/>
  </r>
  <r>
    <x v="2224"/>
    <x v="8"/>
    <x v="2"/>
    <n v="26.1"/>
    <n v="78.300000000000011"/>
    <x v="81"/>
    <x v="12"/>
    <d v="2025-03-24T00:00:00"/>
    <x v="3"/>
    <x v="2"/>
    <x v="2"/>
    <x v="0"/>
    <x v="0"/>
    <x v="0"/>
    <x v="3"/>
  </r>
  <r>
    <x v="2225"/>
    <x v="9"/>
    <x v="9"/>
    <n v="22.6"/>
    <n v="113"/>
    <x v="81"/>
    <x v="12"/>
    <d v="2025-03-23T00:00:00"/>
    <x v="7"/>
    <x v="2"/>
    <x v="2"/>
    <x v="1"/>
    <x v="2"/>
    <x v="0"/>
    <x v="3"/>
  </r>
  <r>
    <x v="2226"/>
    <x v="2"/>
    <x v="1"/>
    <n v="154.4"/>
    <n v="308.8"/>
    <x v="81"/>
    <x v="12"/>
    <d v="2025-03-26T00:00:00"/>
    <x v="2"/>
    <x v="1"/>
    <x v="1"/>
    <x v="1"/>
    <x v="1"/>
    <x v="0"/>
    <x v="3"/>
  </r>
  <r>
    <x v="2227"/>
    <x v="8"/>
    <x v="1"/>
    <n v="18.399999999999999"/>
    <n v="36.799999999999997"/>
    <x v="81"/>
    <x v="12"/>
    <d v="2025-03-24T00:00:00"/>
    <x v="3"/>
    <x v="1"/>
    <x v="1"/>
    <x v="0"/>
    <x v="0"/>
    <x v="0"/>
    <x v="3"/>
  </r>
  <r>
    <x v="2228"/>
    <x v="14"/>
    <x v="0"/>
    <n v="25"/>
    <n v="25"/>
    <x v="81"/>
    <x v="12"/>
    <d v="2025-03-26T00:00:00"/>
    <x v="2"/>
    <x v="2"/>
    <x v="2"/>
    <x v="0"/>
    <x v="0"/>
    <x v="0"/>
    <x v="3"/>
  </r>
  <r>
    <x v="2229"/>
    <x v="2"/>
    <x v="13"/>
    <n v="105.6"/>
    <n v="633.59999999999991"/>
    <x v="81"/>
    <x v="12"/>
    <d v="2025-03-23T00:00:00"/>
    <x v="7"/>
    <x v="2"/>
    <x v="2"/>
    <x v="0"/>
    <x v="0"/>
    <x v="0"/>
    <x v="3"/>
  </r>
  <r>
    <x v="2230"/>
    <x v="18"/>
    <x v="8"/>
    <n v="59.6"/>
    <n v="476.8"/>
    <x v="81"/>
    <x v="12"/>
    <d v="2025-03-23T00:00:00"/>
    <x v="7"/>
    <x v="2"/>
    <x v="2"/>
    <x v="0"/>
    <x v="2"/>
    <x v="0"/>
    <x v="23"/>
  </r>
  <r>
    <x v="2231"/>
    <x v="15"/>
    <x v="2"/>
    <n v="75.400000000000006"/>
    <n v="226.20000000000002"/>
    <x v="81"/>
    <x v="12"/>
    <d v="2025-03-28T00:00:00"/>
    <x v="0"/>
    <x v="1"/>
    <x v="1"/>
    <x v="0"/>
    <x v="1"/>
    <x v="0"/>
    <x v="7"/>
  </r>
  <r>
    <x v="2232"/>
    <x v="7"/>
    <x v="0"/>
    <n v="104.4"/>
    <n v="104.4"/>
    <x v="81"/>
    <x v="12"/>
    <d v="2025-03-24T00:00:00"/>
    <x v="3"/>
    <x v="2"/>
    <x v="2"/>
    <x v="0"/>
    <x v="0"/>
    <x v="0"/>
    <x v="8"/>
  </r>
  <r>
    <x v="2233"/>
    <x v="2"/>
    <x v="7"/>
    <n v="208.2"/>
    <n v="2082"/>
    <x v="81"/>
    <x v="12"/>
    <d v="2025-03-24T00:00:00"/>
    <x v="3"/>
    <x v="1"/>
    <x v="1"/>
    <x v="0"/>
    <x v="2"/>
    <x v="0"/>
    <x v="8"/>
  </r>
  <r>
    <x v="2234"/>
    <x v="6"/>
    <x v="1"/>
    <n v="45"/>
    <n v="90"/>
    <x v="81"/>
    <x v="12"/>
    <d v="2025-03-26T00:00:00"/>
    <x v="2"/>
    <x v="2"/>
    <x v="2"/>
    <x v="0"/>
    <x v="0"/>
    <x v="0"/>
    <x v="10"/>
  </r>
  <r>
    <x v="2235"/>
    <x v="15"/>
    <x v="1"/>
    <n v="20.3"/>
    <n v="40.6"/>
    <x v="82"/>
    <x v="12"/>
    <d v="2025-03-26T00:00:00"/>
    <x v="1"/>
    <x v="0"/>
    <x v="0"/>
    <x v="1"/>
    <x v="0"/>
    <x v="0"/>
    <x v="11"/>
  </r>
  <r>
    <x v="2236"/>
    <x v="2"/>
    <x v="2"/>
    <n v="94.4"/>
    <n v="283.20000000000005"/>
    <x v="82"/>
    <x v="12"/>
    <d v="2025-03-25T00:00:00"/>
    <x v="3"/>
    <x v="2"/>
    <x v="2"/>
    <x v="0"/>
    <x v="2"/>
    <x v="0"/>
    <x v="11"/>
  </r>
  <r>
    <x v="2237"/>
    <x v="9"/>
    <x v="0"/>
    <n v="49"/>
    <n v="49"/>
    <x v="82"/>
    <x v="12"/>
    <d v="2025-03-26T00:00:00"/>
    <x v="1"/>
    <x v="2"/>
    <x v="2"/>
    <x v="0"/>
    <x v="2"/>
    <x v="0"/>
    <x v="20"/>
  </r>
  <r>
    <x v="2238"/>
    <x v="4"/>
    <x v="1"/>
    <n v="27.2"/>
    <n v="54.4"/>
    <x v="82"/>
    <x v="12"/>
    <d v="2025-03-26T00:00:00"/>
    <x v="1"/>
    <x v="1"/>
    <x v="1"/>
    <x v="0"/>
    <x v="2"/>
    <x v="0"/>
    <x v="1"/>
  </r>
  <r>
    <x v="2239"/>
    <x v="2"/>
    <x v="13"/>
    <n v="72.599999999999994"/>
    <n v="435.59999999999997"/>
    <x v="82"/>
    <x v="12"/>
    <d v="2025-03-25T00:00:00"/>
    <x v="3"/>
    <x v="2"/>
    <x v="2"/>
    <x v="0"/>
    <x v="2"/>
    <x v="0"/>
    <x v="2"/>
  </r>
  <r>
    <x v="2240"/>
    <x v="15"/>
    <x v="12"/>
    <n v="62.4"/>
    <n v="249.6"/>
    <x v="82"/>
    <x v="12"/>
    <d v="2025-03-25T00:00:00"/>
    <x v="3"/>
    <x v="2"/>
    <x v="2"/>
    <x v="0"/>
    <x v="0"/>
    <x v="0"/>
    <x v="3"/>
  </r>
  <r>
    <x v="2241"/>
    <x v="8"/>
    <x v="2"/>
    <n v="19.100000000000001"/>
    <n v="57.300000000000004"/>
    <x v="82"/>
    <x v="12"/>
    <d v="2025-03-26T00:00:00"/>
    <x v="1"/>
    <x v="1"/>
    <x v="1"/>
    <x v="0"/>
    <x v="1"/>
    <x v="0"/>
    <x v="3"/>
  </r>
  <r>
    <x v="2242"/>
    <x v="10"/>
    <x v="0"/>
    <n v="29.6"/>
    <n v="29.6"/>
    <x v="82"/>
    <x v="12"/>
    <d v="2025-03-28T00:00:00"/>
    <x v="5"/>
    <x v="1"/>
    <x v="1"/>
    <x v="0"/>
    <x v="4"/>
    <x v="0"/>
    <x v="3"/>
  </r>
  <r>
    <x v="2243"/>
    <x v="8"/>
    <x v="1"/>
    <n v="18.899999999999999"/>
    <n v="37.799999999999997"/>
    <x v="82"/>
    <x v="12"/>
    <d v="2025-03-26T00:00:00"/>
    <x v="1"/>
    <x v="2"/>
    <x v="2"/>
    <x v="4"/>
    <x v="2"/>
    <x v="0"/>
    <x v="3"/>
  </r>
  <r>
    <x v="2244"/>
    <x v="10"/>
    <x v="9"/>
    <n v="41.4"/>
    <n v="207"/>
    <x v="82"/>
    <x v="12"/>
    <d v="2025-03-25T00:00:00"/>
    <x v="3"/>
    <x v="1"/>
    <x v="1"/>
    <x v="3"/>
    <x v="0"/>
    <x v="0"/>
    <x v="3"/>
  </r>
  <r>
    <x v="2245"/>
    <x v="2"/>
    <x v="0"/>
    <n v="118.4"/>
    <n v="118.4"/>
    <x v="82"/>
    <x v="12"/>
    <d v="2025-03-25T00:00:00"/>
    <x v="3"/>
    <x v="2"/>
    <x v="2"/>
    <x v="0"/>
    <x v="2"/>
    <x v="0"/>
    <x v="3"/>
  </r>
  <r>
    <x v="2246"/>
    <x v="2"/>
    <x v="1"/>
    <n v="125.3"/>
    <n v="250.6"/>
    <x v="82"/>
    <x v="12"/>
    <d v="2025-03-27T00:00:00"/>
    <x v="2"/>
    <x v="2"/>
    <x v="2"/>
    <x v="0"/>
    <x v="2"/>
    <x v="0"/>
    <x v="3"/>
  </r>
  <r>
    <x v="2247"/>
    <x v="3"/>
    <x v="1"/>
    <n v="85.8"/>
    <n v="171.6"/>
    <x v="82"/>
    <x v="12"/>
    <d v="2025-03-25T00:00:00"/>
    <x v="3"/>
    <x v="2"/>
    <x v="2"/>
    <x v="1"/>
    <x v="4"/>
    <x v="0"/>
    <x v="3"/>
  </r>
  <r>
    <x v="2248"/>
    <x v="6"/>
    <x v="0"/>
    <n v="44.2"/>
    <n v="44.2"/>
    <x v="82"/>
    <x v="12"/>
    <d v="2025-03-27T00:00:00"/>
    <x v="2"/>
    <x v="1"/>
    <x v="1"/>
    <x v="1"/>
    <x v="0"/>
    <x v="0"/>
    <x v="3"/>
  </r>
  <r>
    <x v="2249"/>
    <x v="5"/>
    <x v="12"/>
    <n v="74.099999999999994"/>
    <n v="296.39999999999998"/>
    <x v="82"/>
    <x v="12"/>
    <d v="2025-03-26T00:00:00"/>
    <x v="1"/>
    <x v="2"/>
    <x v="2"/>
    <x v="0"/>
    <x v="0"/>
    <x v="0"/>
    <x v="3"/>
  </r>
  <r>
    <x v="2250"/>
    <x v="8"/>
    <x v="0"/>
    <n v="33.799999999999997"/>
    <n v="33.799999999999997"/>
    <x v="82"/>
    <x v="12"/>
    <d v="2025-03-25T00:00:00"/>
    <x v="3"/>
    <x v="2"/>
    <x v="2"/>
    <x v="2"/>
    <x v="2"/>
    <x v="0"/>
    <x v="24"/>
  </r>
  <r>
    <x v="2251"/>
    <x v="1"/>
    <x v="1"/>
    <n v="39.1"/>
    <n v="78.2"/>
    <x v="82"/>
    <x v="12"/>
    <d v="2025-03-25T00:00:00"/>
    <x v="3"/>
    <x v="1"/>
    <x v="1"/>
    <x v="0"/>
    <x v="1"/>
    <x v="0"/>
    <x v="24"/>
  </r>
  <r>
    <x v="2252"/>
    <x v="0"/>
    <x v="0"/>
    <n v="37.200000000000003"/>
    <n v="37.200000000000003"/>
    <x v="82"/>
    <x v="12"/>
    <d v="2025-03-25T00:00:00"/>
    <x v="3"/>
    <x v="1"/>
    <x v="1"/>
    <x v="0"/>
    <x v="1"/>
    <x v="0"/>
    <x v="16"/>
  </r>
  <r>
    <x v="2253"/>
    <x v="15"/>
    <x v="2"/>
    <n v="33.9"/>
    <n v="101.69999999999999"/>
    <x v="82"/>
    <x v="12"/>
    <d v="2025-03-26T00:00:00"/>
    <x v="1"/>
    <x v="1"/>
    <x v="1"/>
    <x v="2"/>
    <x v="0"/>
    <x v="0"/>
    <x v="6"/>
  </r>
  <r>
    <x v="2254"/>
    <x v="7"/>
    <x v="20"/>
    <n v="73.3"/>
    <n v="1099.5"/>
    <x v="82"/>
    <x v="12"/>
    <d v="2025-03-27T00:00:00"/>
    <x v="2"/>
    <x v="2"/>
    <x v="2"/>
    <x v="2"/>
    <x v="1"/>
    <x v="0"/>
    <x v="8"/>
  </r>
  <r>
    <x v="2255"/>
    <x v="8"/>
    <x v="12"/>
    <n v="35"/>
    <n v="140"/>
    <x v="82"/>
    <x v="12"/>
    <d v="2025-03-26T00:00:00"/>
    <x v="1"/>
    <x v="2"/>
    <x v="2"/>
    <x v="1"/>
    <x v="0"/>
    <x v="0"/>
    <x v="8"/>
  </r>
  <r>
    <x v="2256"/>
    <x v="0"/>
    <x v="2"/>
    <n v="22.2"/>
    <n v="66.599999999999994"/>
    <x v="82"/>
    <x v="12"/>
    <d v="2025-03-25T00:00:00"/>
    <x v="3"/>
    <x v="1"/>
    <x v="1"/>
    <x v="1"/>
    <x v="0"/>
    <x v="0"/>
    <x v="17"/>
  </r>
  <r>
    <x v="2257"/>
    <x v="10"/>
    <x v="0"/>
    <n v="32.4"/>
    <n v="32.4"/>
    <x v="82"/>
    <x v="12"/>
    <d v="2025-03-25T00:00:00"/>
    <x v="3"/>
    <x v="2"/>
    <x v="2"/>
    <x v="0"/>
    <x v="0"/>
    <x v="0"/>
    <x v="11"/>
  </r>
  <r>
    <x v="2258"/>
    <x v="5"/>
    <x v="2"/>
    <n v="88.4"/>
    <n v="265.20000000000005"/>
    <x v="83"/>
    <x v="12"/>
    <d v="2025-03-27T00:00:00"/>
    <x v="1"/>
    <x v="2"/>
    <x v="2"/>
    <x v="1"/>
    <x v="1"/>
    <x v="0"/>
    <x v="11"/>
  </r>
  <r>
    <x v="2259"/>
    <x v="5"/>
    <x v="27"/>
    <n v="30.5"/>
    <n v="488"/>
    <x v="83"/>
    <x v="12"/>
    <d v="2025-03-26T00:00:00"/>
    <x v="3"/>
    <x v="2"/>
    <x v="2"/>
    <x v="2"/>
    <x v="0"/>
    <x v="0"/>
    <x v="11"/>
  </r>
  <r>
    <x v="2260"/>
    <x v="1"/>
    <x v="13"/>
    <n v="38.1"/>
    <n v="228.60000000000002"/>
    <x v="83"/>
    <x v="12"/>
    <d v="2025-03-27T00:00:00"/>
    <x v="1"/>
    <x v="2"/>
    <x v="2"/>
    <x v="0"/>
    <x v="1"/>
    <x v="0"/>
    <x v="11"/>
  </r>
  <r>
    <x v="2261"/>
    <x v="10"/>
    <x v="9"/>
    <n v="37.6"/>
    <n v="188"/>
    <x v="83"/>
    <x v="12"/>
    <d v="2025-03-29T00:00:00"/>
    <x v="5"/>
    <x v="1"/>
    <x v="1"/>
    <x v="0"/>
    <x v="0"/>
    <x v="0"/>
    <x v="11"/>
  </r>
  <r>
    <x v="2262"/>
    <x v="15"/>
    <x v="1"/>
    <n v="31.4"/>
    <n v="62.8"/>
    <x v="83"/>
    <x v="12"/>
    <d v="2025-03-26T00:00:00"/>
    <x v="3"/>
    <x v="1"/>
    <x v="1"/>
    <x v="0"/>
    <x v="2"/>
    <x v="0"/>
    <x v="11"/>
  </r>
  <r>
    <x v="2263"/>
    <x v="6"/>
    <x v="1"/>
    <n v="61.5"/>
    <n v="123"/>
    <x v="83"/>
    <x v="12"/>
    <d v="2025-03-26T00:00:00"/>
    <x v="3"/>
    <x v="1"/>
    <x v="1"/>
    <x v="3"/>
    <x v="0"/>
    <x v="0"/>
    <x v="31"/>
  </r>
  <r>
    <x v="2264"/>
    <x v="6"/>
    <x v="0"/>
    <n v="72.599999999999994"/>
    <n v="72.599999999999994"/>
    <x v="83"/>
    <x v="12"/>
    <d v="2025-03-26T00:00:00"/>
    <x v="3"/>
    <x v="1"/>
    <x v="1"/>
    <x v="0"/>
    <x v="1"/>
    <x v="0"/>
    <x v="21"/>
  </r>
  <r>
    <x v="2265"/>
    <x v="9"/>
    <x v="2"/>
    <n v="26.9"/>
    <n v="80.699999999999989"/>
    <x v="83"/>
    <x v="12"/>
    <d v="2025-03-30T00:00:00"/>
    <x v="0"/>
    <x v="3"/>
    <x v="3"/>
    <x v="4"/>
    <x v="1"/>
    <x v="0"/>
    <x v="46"/>
  </r>
  <r>
    <x v="2266"/>
    <x v="17"/>
    <x v="4"/>
    <n v="29.4"/>
    <n v="352.79999999999995"/>
    <x v="83"/>
    <x v="12"/>
    <d v="2025-03-26T00:00:00"/>
    <x v="3"/>
    <x v="2"/>
    <x v="2"/>
    <x v="1"/>
    <x v="0"/>
    <x v="0"/>
    <x v="51"/>
  </r>
  <r>
    <x v="2267"/>
    <x v="17"/>
    <x v="1"/>
    <n v="42.1"/>
    <n v="84.2"/>
    <x v="83"/>
    <x v="12"/>
    <d v="2025-03-26T00:00:00"/>
    <x v="3"/>
    <x v="2"/>
    <x v="2"/>
    <x v="3"/>
    <x v="1"/>
    <x v="0"/>
    <x v="1"/>
  </r>
  <r>
    <x v="2268"/>
    <x v="5"/>
    <x v="0"/>
    <n v="40.5"/>
    <n v="40.5"/>
    <x v="83"/>
    <x v="12"/>
    <d v="2025-03-26T00:00:00"/>
    <x v="3"/>
    <x v="2"/>
    <x v="2"/>
    <x v="2"/>
    <x v="1"/>
    <x v="0"/>
    <x v="1"/>
  </r>
  <r>
    <x v="2269"/>
    <x v="2"/>
    <x v="12"/>
    <n v="182.3"/>
    <n v="729.2"/>
    <x v="83"/>
    <x v="12"/>
    <d v="2025-03-26T00:00:00"/>
    <x v="3"/>
    <x v="2"/>
    <x v="2"/>
    <x v="1"/>
    <x v="0"/>
    <x v="0"/>
    <x v="1"/>
  </r>
  <r>
    <x v="2270"/>
    <x v="2"/>
    <x v="9"/>
    <n v="157"/>
    <n v="785"/>
    <x v="83"/>
    <x v="12"/>
    <d v="2025-03-28T00:00:00"/>
    <x v="2"/>
    <x v="2"/>
    <x v="2"/>
    <x v="1"/>
    <x v="2"/>
    <x v="0"/>
    <x v="2"/>
  </r>
  <r>
    <x v="2271"/>
    <x v="17"/>
    <x v="9"/>
    <n v="45.2"/>
    <n v="226"/>
    <x v="83"/>
    <x v="12"/>
    <d v="2025-03-28T00:00:00"/>
    <x v="2"/>
    <x v="2"/>
    <x v="2"/>
    <x v="1"/>
    <x v="0"/>
    <x v="0"/>
    <x v="22"/>
  </r>
  <r>
    <x v="2272"/>
    <x v="15"/>
    <x v="12"/>
    <n v="27.4"/>
    <n v="109.6"/>
    <x v="83"/>
    <x v="12"/>
    <d v="2025-03-27T00:00:00"/>
    <x v="1"/>
    <x v="2"/>
    <x v="2"/>
    <x v="0"/>
    <x v="0"/>
    <x v="0"/>
    <x v="3"/>
  </r>
  <r>
    <x v="2273"/>
    <x v="5"/>
    <x v="9"/>
    <n v="34.1"/>
    <n v="170.5"/>
    <x v="83"/>
    <x v="12"/>
    <d v="2025-03-27T00:00:00"/>
    <x v="1"/>
    <x v="1"/>
    <x v="1"/>
    <x v="0"/>
    <x v="2"/>
    <x v="0"/>
    <x v="3"/>
  </r>
  <r>
    <x v="2274"/>
    <x v="0"/>
    <x v="1"/>
    <n v="26"/>
    <n v="52"/>
    <x v="83"/>
    <x v="12"/>
    <d v="2025-03-27T00:00:00"/>
    <x v="1"/>
    <x v="1"/>
    <x v="1"/>
    <x v="2"/>
    <x v="1"/>
    <x v="0"/>
    <x v="3"/>
  </r>
  <r>
    <x v="2275"/>
    <x v="8"/>
    <x v="3"/>
    <n v="19.399999999999999"/>
    <n v="135.79999999999998"/>
    <x v="83"/>
    <x v="12"/>
    <d v="2025-03-27T00:00:00"/>
    <x v="1"/>
    <x v="0"/>
    <x v="0"/>
    <x v="1"/>
    <x v="1"/>
    <x v="0"/>
    <x v="3"/>
  </r>
  <r>
    <x v="2276"/>
    <x v="16"/>
    <x v="2"/>
    <n v="30.3"/>
    <n v="90.9"/>
    <x v="83"/>
    <x v="12"/>
    <d v="2025-03-28T00:00:00"/>
    <x v="2"/>
    <x v="2"/>
    <x v="2"/>
    <x v="1"/>
    <x v="2"/>
    <x v="0"/>
    <x v="3"/>
  </r>
  <r>
    <x v="2277"/>
    <x v="2"/>
    <x v="2"/>
    <n v="101.4"/>
    <n v="304.20000000000005"/>
    <x v="83"/>
    <x v="12"/>
    <d v="2025-03-26T00:00:00"/>
    <x v="3"/>
    <x v="1"/>
    <x v="1"/>
    <x v="0"/>
    <x v="0"/>
    <x v="0"/>
    <x v="3"/>
  </r>
  <r>
    <x v="2278"/>
    <x v="3"/>
    <x v="9"/>
    <n v="55.5"/>
    <n v="277.5"/>
    <x v="83"/>
    <x v="12"/>
    <d v="2025-03-28T00:00:00"/>
    <x v="2"/>
    <x v="1"/>
    <x v="1"/>
    <x v="1"/>
    <x v="0"/>
    <x v="0"/>
    <x v="24"/>
  </r>
  <r>
    <x v="2279"/>
    <x v="8"/>
    <x v="0"/>
    <n v="23.1"/>
    <n v="23.1"/>
    <x v="83"/>
    <x v="12"/>
    <d v="2025-03-26T00:00:00"/>
    <x v="3"/>
    <x v="1"/>
    <x v="1"/>
    <x v="0"/>
    <x v="0"/>
    <x v="0"/>
    <x v="25"/>
  </r>
  <r>
    <x v="2280"/>
    <x v="18"/>
    <x v="1"/>
    <n v="38.9"/>
    <n v="77.8"/>
    <x v="83"/>
    <x v="12"/>
    <d v="2025-03-26T00:00:00"/>
    <x v="3"/>
    <x v="1"/>
    <x v="1"/>
    <x v="2"/>
    <x v="0"/>
    <x v="0"/>
    <x v="25"/>
  </r>
  <r>
    <x v="2281"/>
    <x v="6"/>
    <x v="11"/>
    <n v="116.3"/>
    <n v="1046.7"/>
    <x v="83"/>
    <x v="12"/>
    <d v="2025-03-29T00:00:00"/>
    <x v="5"/>
    <x v="2"/>
    <x v="2"/>
    <x v="0"/>
    <x v="0"/>
    <x v="0"/>
    <x v="5"/>
  </r>
  <r>
    <x v="2282"/>
    <x v="16"/>
    <x v="11"/>
    <n v="64.099999999999994"/>
    <n v="576.9"/>
    <x v="83"/>
    <x v="12"/>
    <d v="2025-03-25T00:00:00"/>
    <x v="7"/>
    <x v="2"/>
    <x v="2"/>
    <x v="0"/>
    <x v="2"/>
    <x v="0"/>
    <x v="6"/>
  </r>
  <r>
    <x v="2283"/>
    <x v="2"/>
    <x v="13"/>
    <n v="109.2"/>
    <n v="655.20000000000005"/>
    <x v="83"/>
    <x v="12"/>
    <d v="2025-03-27T00:00:00"/>
    <x v="1"/>
    <x v="1"/>
    <x v="1"/>
    <x v="0"/>
    <x v="1"/>
    <x v="0"/>
    <x v="8"/>
  </r>
  <r>
    <x v="2284"/>
    <x v="10"/>
    <x v="9"/>
    <n v="23.2"/>
    <n v="116"/>
    <x v="84"/>
    <x v="12"/>
    <d v="2025-03-27T00:00:00"/>
    <x v="3"/>
    <x v="1"/>
    <x v="1"/>
    <x v="0"/>
    <x v="1"/>
    <x v="0"/>
    <x v="8"/>
  </r>
  <r>
    <x v="2285"/>
    <x v="18"/>
    <x v="13"/>
    <n v="81.2"/>
    <n v="487.20000000000005"/>
    <x v="84"/>
    <x v="12"/>
    <d v="2025-03-28T00:00:00"/>
    <x v="1"/>
    <x v="1"/>
    <x v="1"/>
    <x v="2"/>
    <x v="2"/>
    <x v="0"/>
    <x v="8"/>
  </r>
  <r>
    <x v="2286"/>
    <x v="1"/>
    <x v="21"/>
    <n v="35.700000000000003"/>
    <n v="499.80000000000007"/>
    <x v="84"/>
    <x v="12"/>
    <d v="2025-03-27T00:00:00"/>
    <x v="3"/>
    <x v="1"/>
    <x v="1"/>
    <x v="3"/>
    <x v="0"/>
    <x v="0"/>
    <x v="8"/>
  </r>
  <r>
    <x v="2287"/>
    <x v="7"/>
    <x v="1"/>
    <n v="44.5"/>
    <n v="89"/>
    <x v="84"/>
    <x v="12"/>
    <d v="2025-03-29T00:00:00"/>
    <x v="2"/>
    <x v="1"/>
    <x v="1"/>
    <x v="4"/>
    <x v="0"/>
    <x v="0"/>
    <x v="9"/>
  </r>
  <r>
    <x v="2288"/>
    <x v="1"/>
    <x v="9"/>
    <n v="32"/>
    <n v="160"/>
    <x v="84"/>
    <x v="12"/>
    <d v="2025-03-28T00:00:00"/>
    <x v="1"/>
    <x v="3"/>
    <x v="3"/>
    <x v="1"/>
    <x v="1"/>
    <x v="0"/>
    <x v="9"/>
  </r>
  <r>
    <x v="2289"/>
    <x v="8"/>
    <x v="0"/>
    <n v="25.7"/>
    <n v="25.7"/>
    <x v="84"/>
    <x v="12"/>
    <d v="2025-03-27T00:00:00"/>
    <x v="3"/>
    <x v="1"/>
    <x v="1"/>
    <x v="0"/>
    <x v="0"/>
    <x v="0"/>
    <x v="10"/>
  </r>
  <r>
    <x v="2290"/>
    <x v="16"/>
    <x v="2"/>
    <n v="65.599999999999994"/>
    <n v="196.79999999999998"/>
    <x v="84"/>
    <x v="12"/>
    <d v="2025-04-01T00:00:00"/>
    <x v="4"/>
    <x v="1"/>
    <x v="1"/>
    <x v="0"/>
    <x v="0"/>
    <x v="0"/>
    <x v="11"/>
  </r>
  <r>
    <x v="2291"/>
    <x v="1"/>
    <x v="12"/>
    <n v="52.1"/>
    <n v="208.4"/>
    <x v="84"/>
    <x v="12"/>
    <d v="2025-03-27T00:00:00"/>
    <x v="3"/>
    <x v="2"/>
    <x v="2"/>
    <x v="0"/>
    <x v="2"/>
    <x v="0"/>
    <x v="11"/>
  </r>
  <r>
    <x v="2292"/>
    <x v="8"/>
    <x v="0"/>
    <n v="31"/>
    <n v="31"/>
    <x v="84"/>
    <x v="12"/>
    <d v="2025-03-27T00:00:00"/>
    <x v="3"/>
    <x v="1"/>
    <x v="1"/>
    <x v="0"/>
    <x v="1"/>
    <x v="0"/>
    <x v="19"/>
  </r>
  <r>
    <x v="2293"/>
    <x v="8"/>
    <x v="0"/>
    <n v="32"/>
    <n v="32"/>
    <x v="84"/>
    <x v="12"/>
    <d v="2025-03-28T00:00:00"/>
    <x v="1"/>
    <x v="3"/>
    <x v="3"/>
    <x v="3"/>
    <x v="1"/>
    <x v="0"/>
    <x v="31"/>
  </r>
  <r>
    <x v="2294"/>
    <x v="16"/>
    <x v="12"/>
    <n v="58.3"/>
    <n v="233.2"/>
    <x v="84"/>
    <x v="12"/>
    <d v="2025-03-30T00:00:00"/>
    <x v="5"/>
    <x v="1"/>
    <x v="1"/>
    <x v="1"/>
    <x v="4"/>
    <x v="0"/>
    <x v="20"/>
  </r>
  <r>
    <x v="2295"/>
    <x v="8"/>
    <x v="2"/>
    <n v="31"/>
    <n v="93"/>
    <x v="84"/>
    <x v="12"/>
    <d v="2025-03-28T00:00:00"/>
    <x v="1"/>
    <x v="2"/>
    <x v="2"/>
    <x v="2"/>
    <x v="4"/>
    <x v="0"/>
    <x v="13"/>
  </r>
  <r>
    <x v="2296"/>
    <x v="3"/>
    <x v="0"/>
    <n v="40.299999999999997"/>
    <n v="40.299999999999997"/>
    <x v="84"/>
    <x v="12"/>
    <d v="2025-03-27T00:00:00"/>
    <x v="3"/>
    <x v="1"/>
    <x v="1"/>
    <x v="1"/>
    <x v="2"/>
    <x v="0"/>
    <x v="54"/>
  </r>
  <r>
    <x v="2297"/>
    <x v="6"/>
    <x v="2"/>
    <n v="47.3"/>
    <n v="141.89999999999998"/>
    <x v="84"/>
    <x v="12"/>
    <d v="2025-03-28T00:00:00"/>
    <x v="1"/>
    <x v="1"/>
    <x v="1"/>
    <x v="4"/>
    <x v="2"/>
    <x v="0"/>
    <x v="2"/>
  </r>
  <r>
    <x v="2298"/>
    <x v="2"/>
    <x v="0"/>
    <n v="82.8"/>
    <n v="82.8"/>
    <x v="84"/>
    <x v="12"/>
    <d v="2025-03-27T00:00:00"/>
    <x v="3"/>
    <x v="1"/>
    <x v="1"/>
    <x v="0"/>
    <x v="0"/>
    <x v="0"/>
    <x v="2"/>
  </r>
  <r>
    <x v="2299"/>
    <x v="8"/>
    <x v="0"/>
    <n v="18.5"/>
    <n v="18.5"/>
    <x v="84"/>
    <x v="12"/>
    <d v="2025-04-09T00:00:00"/>
    <x v="12"/>
    <x v="2"/>
    <x v="2"/>
    <x v="0"/>
    <x v="0"/>
    <x v="0"/>
    <x v="44"/>
  </r>
  <r>
    <x v="2300"/>
    <x v="3"/>
    <x v="1"/>
    <n v="60.4"/>
    <n v="120.8"/>
    <x v="84"/>
    <x v="12"/>
    <d v="2025-03-27T00:00:00"/>
    <x v="3"/>
    <x v="1"/>
    <x v="1"/>
    <x v="2"/>
    <x v="0"/>
    <x v="0"/>
    <x v="22"/>
  </r>
  <r>
    <x v="2301"/>
    <x v="6"/>
    <x v="9"/>
    <n v="80.2"/>
    <n v="401"/>
    <x v="84"/>
    <x v="12"/>
    <d v="2025-04-02T00:00:00"/>
    <x v="6"/>
    <x v="1"/>
    <x v="1"/>
    <x v="1"/>
    <x v="1"/>
    <x v="0"/>
    <x v="50"/>
  </r>
  <r>
    <x v="2302"/>
    <x v="4"/>
    <x v="0"/>
    <n v="41.5"/>
    <n v="41.5"/>
    <x v="84"/>
    <x v="12"/>
    <d v="2025-03-28T00:00:00"/>
    <x v="1"/>
    <x v="1"/>
    <x v="1"/>
    <x v="2"/>
    <x v="0"/>
    <x v="0"/>
    <x v="3"/>
  </r>
  <r>
    <x v="2303"/>
    <x v="2"/>
    <x v="1"/>
    <n v="83.9"/>
    <n v="167.8"/>
    <x v="84"/>
    <x v="12"/>
    <d v="2025-03-29T00:00:00"/>
    <x v="2"/>
    <x v="2"/>
    <x v="2"/>
    <x v="0"/>
    <x v="0"/>
    <x v="0"/>
    <x v="3"/>
  </r>
  <r>
    <x v="2304"/>
    <x v="8"/>
    <x v="1"/>
    <n v="16.7"/>
    <n v="33.4"/>
    <x v="84"/>
    <x v="12"/>
    <d v="2025-03-30T00:00:00"/>
    <x v="5"/>
    <x v="2"/>
    <x v="2"/>
    <x v="0"/>
    <x v="1"/>
    <x v="0"/>
    <x v="3"/>
  </r>
  <r>
    <x v="2305"/>
    <x v="9"/>
    <x v="1"/>
    <n v="72.900000000000006"/>
    <n v="145.80000000000001"/>
    <x v="84"/>
    <x v="12"/>
    <d v="2025-03-27T00:00:00"/>
    <x v="3"/>
    <x v="1"/>
    <x v="1"/>
    <x v="2"/>
    <x v="1"/>
    <x v="0"/>
    <x v="3"/>
  </r>
  <r>
    <x v="2306"/>
    <x v="5"/>
    <x v="1"/>
    <n v="50.2"/>
    <n v="100.4"/>
    <x v="84"/>
    <x v="12"/>
    <d v="2025-03-28T00:00:00"/>
    <x v="1"/>
    <x v="2"/>
    <x v="2"/>
    <x v="1"/>
    <x v="2"/>
    <x v="0"/>
    <x v="3"/>
  </r>
  <r>
    <x v="2307"/>
    <x v="3"/>
    <x v="1"/>
    <n v="34.200000000000003"/>
    <n v="68.400000000000006"/>
    <x v="84"/>
    <x v="12"/>
    <d v="2025-04-05T00:00:00"/>
    <x v="14"/>
    <x v="0"/>
    <x v="0"/>
    <x v="1"/>
    <x v="0"/>
    <x v="0"/>
    <x v="3"/>
  </r>
  <r>
    <x v="2308"/>
    <x v="5"/>
    <x v="1"/>
    <n v="107.9"/>
    <n v="215.8"/>
    <x v="84"/>
    <x v="12"/>
    <d v="2025-03-26T00:00:00"/>
    <x v="7"/>
    <x v="1"/>
    <x v="1"/>
    <x v="1"/>
    <x v="4"/>
    <x v="0"/>
    <x v="3"/>
  </r>
  <r>
    <x v="2309"/>
    <x v="0"/>
    <x v="2"/>
    <n v="17.5"/>
    <n v="52.5"/>
    <x v="84"/>
    <x v="12"/>
    <d v="2025-03-28T00:00:00"/>
    <x v="1"/>
    <x v="1"/>
    <x v="1"/>
    <x v="4"/>
    <x v="0"/>
    <x v="0"/>
    <x v="3"/>
  </r>
  <r>
    <x v="2310"/>
    <x v="13"/>
    <x v="20"/>
    <n v="44.7"/>
    <n v="670.5"/>
    <x v="84"/>
    <x v="12"/>
    <d v="2025-03-27T00:00:00"/>
    <x v="3"/>
    <x v="1"/>
    <x v="1"/>
    <x v="0"/>
    <x v="1"/>
    <x v="0"/>
    <x v="3"/>
  </r>
  <r>
    <x v="2311"/>
    <x v="12"/>
    <x v="13"/>
    <n v="92.7"/>
    <n v="556.20000000000005"/>
    <x v="84"/>
    <x v="12"/>
    <d v="2025-03-28T00:00:00"/>
    <x v="1"/>
    <x v="2"/>
    <x v="2"/>
    <x v="2"/>
    <x v="1"/>
    <x v="0"/>
    <x v="3"/>
  </r>
  <r>
    <x v="2312"/>
    <x v="7"/>
    <x v="2"/>
    <n v="48.8"/>
    <n v="146.39999999999998"/>
    <x v="84"/>
    <x v="12"/>
    <d v="2025-03-28T00:00:00"/>
    <x v="1"/>
    <x v="2"/>
    <x v="2"/>
    <x v="2"/>
    <x v="0"/>
    <x v="0"/>
    <x v="3"/>
  </r>
  <r>
    <x v="2313"/>
    <x v="4"/>
    <x v="27"/>
    <n v="21.3"/>
    <n v="340.8"/>
    <x v="84"/>
    <x v="12"/>
    <d v="2025-03-30T00:00:00"/>
    <x v="5"/>
    <x v="2"/>
    <x v="2"/>
    <x v="3"/>
    <x v="3"/>
    <x v="0"/>
    <x v="3"/>
  </r>
  <r>
    <x v="2314"/>
    <x v="16"/>
    <x v="0"/>
    <n v="52.5"/>
    <n v="52.5"/>
    <x v="84"/>
    <x v="12"/>
    <d v="2025-03-27T00:00:00"/>
    <x v="3"/>
    <x v="2"/>
    <x v="2"/>
    <x v="0"/>
    <x v="0"/>
    <x v="0"/>
    <x v="3"/>
  </r>
  <r>
    <x v="2315"/>
    <x v="1"/>
    <x v="1"/>
    <n v="92.4"/>
    <n v="184.8"/>
    <x v="84"/>
    <x v="12"/>
    <d v="2025-04-01T00:00:00"/>
    <x v="4"/>
    <x v="2"/>
    <x v="2"/>
    <x v="0"/>
    <x v="2"/>
    <x v="0"/>
    <x v="3"/>
  </r>
  <r>
    <x v="2316"/>
    <x v="4"/>
    <x v="5"/>
    <n v="58.3"/>
    <n v="641.29999999999995"/>
    <x v="84"/>
    <x v="12"/>
    <d v="2025-03-28T00:00:00"/>
    <x v="1"/>
    <x v="1"/>
    <x v="1"/>
    <x v="1"/>
    <x v="2"/>
    <x v="0"/>
    <x v="3"/>
  </r>
  <r>
    <x v="2317"/>
    <x v="6"/>
    <x v="44"/>
    <n v="152.6"/>
    <n v="3509.7999999999997"/>
    <x v="85"/>
    <x v="12"/>
    <d v="2025-03-29T00:00:00"/>
    <x v="1"/>
    <x v="0"/>
    <x v="0"/>
    <x v="0"/>
    <x v="0"/>
    <x v="0"/>
    <x v="3"/>
  </r>
  <r>
    <x v="2318"/>
    <x v="8"/>
    <x v="1"/>
    <n v="26"/>
    <n v="52"/>
    <x v="85"/>
    <x v="12"/>
    <d v="2025-03-27T00:00:00"/>
    <x v="7"/>
    <x v="0"/>
    <x v="0"/>
    <x v="0"/>
    <x v="1"/>
    <x v="0"/>
    <x v="3"/>
  </r>
  <r>
    <x v="2319"/>
    <x v="1"/>
    <x v="12"/>
    <n v="33.1"/>
    <n v="132.4"/>
    <x v="85"/>
    <x v="12"/>
    <d v="2025-03-27T00:00:00"/>
    <x v="7"/>
    <x v="1"/>
    <x v="1"/>
    <x v="2"/>
    <x v="4"/>
    <x v="0"/>
    <x v="5"/>
  </r>
  <r>
    <x v="2320"/>
    <x v="18"/>
    <x v="0"/>
    <n v="51.4"/>
    <n v="51.4"/>
    <x v="85"/>
    <x v="12"/>
    <d v="2025-03-29T00:00:00"/>
    <x v="1"/>
    <x v="2"/>
    <x v="2"/>
    <x v="1"/>
    <x v="1"/>
    <x v="0"/>
    <x v="5"/>
  </r>
  <r>
    <x v="2321"/>
    <x v="8"/>
    <x v="1"/>
    <n v="30.2"/>
    <n v="60.4"/>
    <x v="85"/>
    <x v="12"/>
    <d v="2025-03-28T00:00:00"/>
    <x v="3"/>
    <x v="2"/>
    <x v="2"/>
    <x v="2"/>
    <x v="2"/>
    <x v="0"/>
    <x v="6"/>
  </r>
  <r>
    <x v="2322"/>
    <x v="2"/>
    <x v="13"/>
    <n v="97"/>
    <n v="582"/>
    <x v="85"/>
    <x v="12"/>
    <d v="2025-03-31T00:00:00"/>
    <x v="5"/>
    <x v="2"/>
    <x v="2"/>
    <x v="0"/>
    <x v="2"/>
    <x v="0"/>
    <x v="7"/>
  </r>
  <r>
    <x v="2323"/>
    <x v="2"/>
    <x v="0"/>
    <n v="76.900000000000006"/>
    <n v="76.900000000000006"/>
    <x v="85"/>
    <x v="12"/>
    <d v="2025-03-28T00:00:00"/>
    <x v="3"/>
    <x v="1"/>
    <x v="1"/>
    <x v="1"/>
    <x v="2"/>
    <x v="0"/>
    <x v="8"/>
  </r>
  <r>
    <x v="2324"/>
    <x v="7"/>
    <x v="13"/>
    <n v="36.1"/>
    <n v="216.60000000000002"/>
    <x v="85"/>
    <x v="12"/>
    <d v="2025-03-31T00:00:00"/>
    <x v="5"/>
    <x v="2"/>
    <x v="2"/>
    <x v="0"/>
    <x v="0"/>
    <x v="0"/>
    <x v="8"/>
  </r>
  <r>
    <x v="2325"/>
    <x v="1"/>
    <x v="3"/>
    <n v="34.4"/>
    <n v="240.79999999999998"/>
    <x v="85"/>
    <x v="12"/>
    <d v="2025-03-27T00:00:00"/>
    <x v="7"/>
    <x v="2"/>
    <x v="2"/>
    <x v="2"/>
    <x v="1"/>
    <x v="0"/>
    <x v="11"/>
  </r>
  <r>
    <x v="2326"/>
    <x v="1"/>
    <x v="31"/>
    <n v="53.4"/>
    <n v="1495.2"/>
    <x v="85"/>
    <x v="12"/>
    <d v="2025-03-29T00:00:00"/>
    <x v="1"/>
    <x v="2"/>
    <x v="2"/>
    <x v="1"/>
    <x v="0"/>
    <x v="0"/>
    <x v="18"/>
  </r>
  <r>
    <x v="2327"/>
    <x v="2"/>
    <x v="0"/>
    <n v="77.599999999999994"/>
    <n v="77.599999999999994"/>
    <x v="85"/>
    <x v="12"/>
    <d v="2025-03-28T00:00:00"/>
    <x v="3"/>
    <x v="2"/>
    <x v="2"/>
    <x v="0"/>
    <x v="1"/>
    <x v="0"/>
    <x v="19"/>
  </r>
  <r>
    <x v="2328"/>
    <x v="1"/>
    <x v="2"/>
    <n v="71.7"/>
    <n v="215.10000000000002"/>
    <x v="85"/>
    <x v="12"/>
    <d v="2025-03-30T00:00:00"/>
    <x v="2"/>
    <x v="2"/>
    <x v="2"/>
    <x v="1"/>
    <x v="0"/>
    <x v="0"/>
    <x v="19"/>
  </r>
  <r>
    <x v="2329"/>
    <x v="3"/>
    <x v="2"/>
    <n v="80.599999999999994"/>
    <n v="241.79999999999998"/>
    <x v="85"/>
    <x v="12"/>
    <d v="2025-03-28T00:00:00"/>
    <x v="3"/>
    <x v="1"/>
    <x v="1"/>
    <x v="4"/>
    <x v="1"/>
    <x v="0"/>
    <x v="19"/>
  </r>
  <r>
    <x v="2330"/>
    <x v="1"/>
    <x v="20"/>
    <n v="70"/>
    <n v="1050"/>
    <x v="85"/>
    <x v="12"/>
    <d v="2025-03-29T00:00:00"/>
    <x v="1"/>
    <x v="1"/>
    <x v="1"/>
    <x v="0"/>
    <x v="0"/>
    <x v="0"/>
    <x v="20"/>
  </r>
  <r>
    <x v="2331"/>
    <x v="4"/>
    <x v="13"/>
    <n v="27.3"/>
    <n v="163.80000000000001"/>
    <x v="85"/>
    <x v="12"/>
    <d v="2025-03-29T00:00:00"/>
    <x v="1"/>
    <x v="2"/>
    <x v="2"/>
    <x v="1"/>
    <x v="1"/>
    <x v="0"/>
    <x v="2"/>
  </r>
  <r>
    <x v="2332"/>
    <x v="8"/>
    <x v="21"/>
    <n v="37.6"/>
    <n v="526.4"/>
    <x v="85"/>
    <x v="12"/>
    <d v="2025-03-29T00:00:00"/>
    <x v="1"/>
    <x v="1"/>
    <x v="1"/>
    <x v="1"/>
    <x v="0"/>
    <x v="0"/>
    <x v="3"/>
  </r>
  <r>
    <x v="2333"/>
    <x v="5"/>
    <x v="2"/>
    <n v="36.6"/>
    <n v="109.80000000000001"/>
    <x v="85"/>
    <x v="12"/>
    <d v="2025-03-29T00:00:00"/>
    <x v="1"/>
    <x v="2"/>
    <x v="2"/>
    <x v="4"/>
    <x v="0"/>
    <x v="0"/>
    <x v="3"/>
  </r>
  <r>
    <x v="2334"/>
    <x v="13"/>
    <x v="0"/>
    <n v="55.2"/>
    <n v="55.2"/>
    <x v="85"/>
    <x v="12"/>
    <d v="2025-03-29T00:00:00"/>
    <x v="1"/>
    <x v="1"/>
    <x v="1"/>
    <x v="3"/>
    <x v="0"/>
    <x v="0"/>
    <x v="3"/>
  </r>
  <r>
    <x v="2335"/>
    <x v="6"/>
    <x v="9"/>
    <n v="59.9"/>
    <n v="299.5"/>
    <x v="85"/>
    <x v="12"/>
    <d v="2025-03-29T00:00:00"/>
    <x v="1"/>
    <x v="1"/>
    <x v="1"/>
    <x v="0"/>
    <x v="0"/>
    <x v="0"/>
    <x v="3"/>
  </r>
  <r>
    <x v="2336"/>
    <x v="6"/>
    <x v="0"/>
    <n v="44"/>
    <n v="44"/>
    <x v="85"/>
    <x v="12"/>
    <d v="2025-03-28T00:00:00"/>
    <x v="3"/>
    <x v="2"/>
    <x v="2"/>
    <x v="2"/>
    <x v="2"/>
    <x v="0"/>
    <x v="3"/>
  </r>
  <r>
    <x v="2337"/>
    <x v="9"/>
    <x v="1"/>
    <n v="68.7"/>
    <n v="137.4"/>
    <x v="85"/>
    <x v="12"/>
    <d v="2025-03-27T00:00:00"/>
    <x v="7"/>
    <x v="1"/>
    <x v="1"/>
    <x v="0"/>
    <x v="0"/>
    <x v="0"/>
    <x v="3"/>
  </r>
  <r>
    <x v="2338"/>
    <x v="5"/>
    <x v="1"/>
    <n v="61.6"/>
    <n v="123.2"/>
    <x v="85"/>
    <x v="12"/>
    <d v="2025-03-31T00:00:00"/>
    <x v="5"/>
    <x v="1"/>
    <x v="1"/>
    <x v="3"/>
    <x v="1"/>
    <x v="0"/>
    <x v="3"/>
  </r>
  <r>
    <x v="2339"/>
    <x v="7"/>
    <x v="3"/>
    <n v="51.8"/>
    <n v="362.59999999999997"/>
    <x v="85"/>
    <x v="12"/>
    <d v="2025-03-28T00:00:00"/>
    <x v="3"/>
    <x v="1"/>
    <x v="1"/>
    <x v="0"/>
    <x v="0"/>
    <x v="0"/>
    <x v="3"/>
  </r>
  <r>
    <x v="2340"/>
    <x v="8"/>
    <x v="7"/>
    <n v="46.2"/>
    <n v="462"/>
    <x v="85"/>
    <x v="12"/>
    <d v="2025-03-29T00:00:00"/>
    <x v="1"/>
    <x v="1"/>
    <x v="1"/>
    <x v="1"/>
    <x v="2"/>
    <x v="0"/>
    <x v="3"/>
  </r>
  <r>
    <x v="2341"/>
    <x v="0"/>
    <x v="1"/>
    <n v="19.399999999999999"/>
    <n v="38.799999999999997"/>
    <x v="85"/>
    <x v="12"/>
    <d v="2025-03-29T00:00:00"/>
    <x v="1"/>
    <x v="2"/>
    <x v="2"/>
    <x v="1"/>
    <x v="2"/>
    <x v="0"/>
    <x v="6"/>
  </r>
  <r>
    <x v="2342"/>
    <x v="11"/>
    <x v="2"/>
    <n v="52.1"/>
    <n v="156.30000000000001"/>
    <x v="85"/>
    <x v="12"/>
    <d v="2025-03-30T00:00:00"/>
    <x v="2"/>
    <x v="1"/>
    <x v="1"/>
    <x v="3"/>
    <x v="3"/>
    <x v="0"/>
    <x v="6"/>
  </r>
  <r>
    <x v="2343"/>
    <x v="6"/>
    <x v="0"/>
    <n v="74.900000000000006"/>
    <n v="74.900000000000006"/>
    <x v="85"/>
    <x v="12"/>
    <d v="2025-03-29T00:00:00"/>
    <x v="1"/>
    <x v="3"/>
    <x v="3"/>
    <x v="0"/>
    <x v="0"/>
    <x v="0"/>
    <x v="7"/>
  </r>
  <r>
    <x v="2344"/>
    <x v="9"/>
    <x v="3"/>
    <n v="49.6"/>
    <n v="347.2"/>
    <x v="85"/>
    <x v="12"/>
    <d v="2025-03-30T00:00:00"/>
    <x v="2"/>
    <x v="2"/>
    <x v="2"/>
    <x v="4"/>
    <x v="0"/>
    <x v="0"/>
    <x v="8"/>
  </r>
  <r>
    <x v="2345"/>
    <x v="16"/>
    <x v="12"/>
    <n v="82.8"/>
    <n v="331.2"/>
    <x v="86"/>
    <x v="12"/>
    <d v="2025-03-31T00:00:00"/>
    <x v="2"/>
    <x v="2"/>
    <x v="2"/>
    <x v="4"/>
    <x v="0"/>
    <x v="0"/>
    <x v="8"/>
  </r>
  <r>
    <x v="2346"/>
    <x v="2"/>
    <x v="0"/>
    <n v="97.7"/>
    <n v="97.7"/>
    <x v="86"/>
    <x v="12"/>
    <d v="2025-03-29T00:00:00"/>
    <x v="3"/>
    <x v="2"/>
    <x v="2"/>
    <x v="1"/>
    <x v="0"/>
    <x v="0"/>
    <x v="8"/>
  </r>
  <r>
    <x v="2347"/>
    <x v="6"/>
    <x v="9"/>
    <n v="83.6"/>
    <n v="418"/>
    <x v="86"/>
    <x v="12"/>
    <d v="2025-03-29T00:00:00"/>
    <x v="3"/>
    <x v="2"/>
    <x v="2"/>
    <x v="4"/>
    <x v="0"/>
    <x v="0"/>
    <x v="8"/>
  </r>
  <r>
    <x v="2348"/>
    <x v="8"/>
    <x v="9"/>
    <n v="23.5"/>
    <n v="117.5"/>
    <x v="86"/>
    <x v="12"/>
    <d v="2025-04-01T00:00:00"/>
    <x v="5"/>
    <x v="3"/>
    <x v="3"/>
    <x v="0"/>
    <x v="0"/>
    <x v="0"/>
    <x v="8"/>
  </r>
  <r>
    <x v="2349"/>
    <x v="9"/>
    <x v="2"/>
    <n v="44.6"/>
    <n v="133.80000000000001"/>
    <x v="86"/>
    <x v="12"/>
    <d v="2025-03-31T00:00:00"/>
    <x v="2"/>
    <x v="2"/>
    <x v="2"/>
    <x v="4"/>
    <x v="1"/>
    <x v="0"/>
    <x v="26"/>
  </r>
  <r>
    <x v="2350"/>
    <x v="0"/>
    <x v="2"/>
    <n v="20.100000000000001"/>
    <n v="60.300000000000004"/>
    <x v="86"/>
    <x v="12"/>
    <d v="2025-03-30T00:00:00"/>
    <x v="1"/>
    <x v="2"/>
    <x v="2"/>
    <x v="3"/>
    <x v="4"/>
    <x v="0"/>
    <x v="11"/>
  </r>
  <r>
    <x v="2351"/>
    <x v="2"/>
    <x v="9"/>
    <n v="153.6"/>
    <n v="768"/>
    <x v="86"/>
    <x v="12"/>
    <d v="2025-03-29T00:00:00"/>
    <x v="3"/>
    <x v="2"/>
    <x v="2"/>
    <x v="1"/>
    <x v="2"/>
    <x v="0"/>
    <x v="53"/>
  </r>
  <r>
    <x v="2352"/>
    <x v="1"/>
    <x v="1"/>
    <n v="71.8"/>
    <n v="143.6"/>
    <x v="86"/>
    <x v="12"/>
    <d v="2025-04-01T00:00:00"/>
    <x v="5"/>
    <x v="2"/>
    <x v="2"/>
    <x v="1"/>
    <x v="0"/>
    <x v="0"/>
    <x v="1"/>
  </r>
  <r>
    <x v="2353"/>
    <x v="10"/>
    <x v="0"/>
    <n v="64.7"/>
    <n v="64.7"/>
    <x v="86"/>
    <x v="12"/>
    <d v="2025-03-30T00:00:00"/>
    <x v="1"/>
    <x v="0"/>
    <x v="0"/>
    <x v="0"/>
    <x v="1"/>
    <x v="0"/>
    <x v="1"/>
  </r>
  <r>
    <x v="2354"/>
    <x v="9"/>
    <x v="8"/>
    <n v="60.4"/>
    <n v="483.2"/>
    <x v="86"/>
    <x v="12"/>
    <d v="2025-03-30T00:00:00"/>
    <x v="1"/>
    <x v="2"/>
    <x v="2"/>
    <x v="3"/>
    <x v="2"/>
    <x v="0"/>
    <x v="2"/>
  </r>
  <r>
    <x v="2355"/>
    <x v="6"/>
    <x v="12"/>
    <n v="86"/>
    <n v="344"/>
    <x v="86"/>
    <x v="12"/>
    <d v="2025-03-31T00:00:00"/>
    <x v="2"/>
    <x v="2"/>
    <x v="2"/>
    <x v="2"/>
    <x v="2"/>
    <x v="0"/>
    <x v="22"/>
  </r>
  <r>
    <x v="2356"/>
    <x v="12"/>
    <x v="1"/>
    <n v="42.1"/>
    <n v="84.2"/>
    <x v="86"/>
    <x v="12"/>
    <d v="2025-03-29T00:00:00"/>
    <x v="3"/>
    <x v="2"/>
    <x v="2"/>
    <x v="4"/>
    <x v="1"/>
    <x v="0"/>
    <x v="34"/>
  </r>
  <r>
    <x v="2357"/>
    <x v="16"/>
    <x v="11"/>
    <n v="51.1"/>
    <n v="459.90000000000003"/>
    <x v="86"/>
    <x v="12"/>
    <d v="2025-03-29T00:00:00"/>
    <x v="3"/>
    <x v="1"/>
    <x v="1"/>
    <x v="2"/>
    <x v="1"/>
    <x v="0"/>
    <x v="3"/>
  </r>
  <r>
    <x v="2358"/>
    <x v="9"/>
    <x v="12"/>
    <n v="73.8"/>
    <n v="295.2"/>
    <x v="86"/>
    <x v="12"/>
    <d v="2025-03-29T00:00:00"/>
    <x v="3"/>
    <x v="1"/>
    <x v="1"/>
    <x v="4"/>
    <x v="0"/>
    <x v="0"/>
    <x v="3"/>
  </r>
  <r>
    <x v="2359"/>
    <x v="8"/>
    <x v="9"/>
    <n v="27"/>
    <n v="135"/>
    <x v="86"/>
    <x v="12"/>
    <d v="2025-03-31T00:00:00"/>
    <x v="2"/>
    <x v="2"/>
    <x v="2"/>
    <x v="2"/>
    <x v="2"/>
    <x v="0"/>
    <x v="3"/>
  </r>
  <r>
    <x v="2360"/>
    <x v="8"/>
    <x v="13"/>
    <n v="60.1"/>
    <n v="360.6"/>
    <x v="86"/>
    <x v="12"/>
    <d v="2025-03-29T00:00:00"/>
    <x v="3"/>
    <x v="1"/>
    <x v="1"/>
    <x v="3"/>
    <x v="0"/>
    <x v="0"/>
    <x v="3"/>
  </r>
  <r>
    <x v="2361"/>
    <x v="2"/>
    <x v="3"/>
    <n v="94.1"/>
    <n v="658.69999999999993"/>
    <x v="86"/>
    <x v="12"/>
    <d v="2025-03-30T00:00:00"/>
    <x v="1"/>
    <x v="2"/>
    <x v="2"/>
    <x v="4"/>
    <x v="1"/>
    <x v="0"/>
    <x v="3"/>
  </r>
  <r>
    <x v="2362"/>
    <x v="2"/>
    <x v="1"/>
    <n v="124.1"/>
    <n v="248.2"/>
    <x v="86"/>
    <x v="12"/>
    <d v="2025-03-28T00:00:00"/>
    <x v="7"/>
    <x v="2"/>
    <x v="2"/>
    <x v="2"/>
    <x v="3"/>
    <x v="0"/>
    <x v="43"/>
  </r>
  <r>
    <x v="2363"/>
    <x v="8"/>
    <x v="12"/>
    <n v="16.899999999999999"/>
    <n v="67.599999999999994"/>
    <x v="86"/>
    <x v="12"/>
    <d v="2025-03-31T00:00:00"/>
    <x v="2"/>
    <x v="1"/>
    <x v="1"/>
    <x v="3"/>
    <x v="0"/>
    <x v="0"/>
    <x v="6"/>
  </r>
  <r>
    <x v="2364"/>
    <x v="1"/>
    <x v="0"/>
    <n v="36.9"/>
    <n v="36.9"/>
    <x v="86"/>
    <x v="12"/>
    <d v="2025-03-29T00:00:00"/>
    <x v="3"/>
    <x v="1"/>
    <x v="1"/>
    <x v="0"/>
    <x v="0"/>
    <x v="0"/>
    <x v="6"/>
  </r>
  <r>
    <x v="2365"/>
    <x v="9"/>
    <x v="1"/>
    <n v="22.6"/>
    <n v="45.2"/>
    <x v="86"/>
    <x v="12"/>
    <d v="2025-04-10T00:00:00"/>
    <x v="10"/>
    <x v="2"/>
    <x v="2"/>
    <x v="2"/>
    <x v="1"/>
    <x v="0"/>
    <x v="8"/>
  </r>
  <r>
    <x v="2366"/>
    <x v="7"/>
    <x v="12"/>
    <n v="35"/>
    <n v="140"/>
    <x v="86"/>
    <x v="12"/>
    <d v="2025-04-02T00:00:00"/>
    <x v="0"/>
    <x v="1"/>
    <x v="1"/>
    <x v="3"/>
    <x v="1"/>
    <x v="0"/>
    <x v="8"/>
  </r>
  <r>
    <x v="2367"/>
    <x v="9"/>
    <x v="13"/>
    <n v="63.6"/>
    <n v="381.6"/>
    <x v="86"/>
    <x v="12"/>
    <d v="2025-04-04T00:00:00"/>
    <x v="6"/>
    <x v="0"/>
    <x v="0"/>
    <x v="1"/>
    <x v="2"/>
    <x v="0"/>
    <x v="8"/>
  </r>
  <r>
    <x v="2368"/>
    <x v="15"/>
    <x v="12"/>
    <n v="78.599999999999994"/>
    <n v="314.39999999999998"/>
    <x v="86"/>
    <x v="12"/>
    <d v="2025-03-29T00:00:00"/>
    <x v="3"/>
    <x v="1"/>
    <x v="1"/>
    <x v="4"/>
    <x v="1"/>
    <x v="0"/>
    <x v="8"/>
  </r>
  <r>
    <x v="2369"/>
    <x v="3"/>
    <x v="1"/>
    <n v="38.5"/>
    <n v="77"/>
    <x v="86"/>
    <x v="12"/>
    <d v="2025-03-29T00:00:00"/>
    <x v="3"/>
    <x v="1"/>
    <x v="1"/>
    <x v="0"/>
    <x v="2"/>
    <x v="0"/>
    <x v="8"/>
  </r>
  <r>
    <x v="2370"/>
    <x v="8"/>
    <x v="5"/>
    <n v="71.5"/>
    <n v="786.5"/>
    <x v="86"/>
    <x v="12"/>
    <d v="2025-03-29T00:00:00"/>
    <x v="3"/>
    <x v="2"/>
    <x v="2"/>
    <x v="1"/>
    <x v="4"/>
    <x v="0"/>
    <x v="8"/>
  </r>
  <r>
    <x v="2371"/>
    <x v="6"/>
    <x v="12"/>
    <n v="121.4"/>
    <n v="485.6"/>
    <x v="86"/>
    <x v="12"/>
    <d v="2025-04-01T00:00:00"/>
    <x v="5"/>
    <x v="1"/>
    <x v="1"/>
    <x v="1"/>
    <x v="2"/>
    <x v="0"/>
    <x v="17"/>
  </r>
  <r>
    <x v="2372"/>
    <x v="11"/>
    <x v="0"/>
    <n v="40.200000000000003"/>
    <n v="40.200000000000003"/>
    <x v="86"/>
    <x v="12"/>
    <d v="2025-03-31T00:00:00"/>
    <x v="2"/>
    <x v="2"/>
    <x v="2"/>
    <x v="0"/>
    <x v="2"/>
    <x v="0"/>
    <x v="11"/>
  </r>
  <r>
    <x v="2373"/>
    <x v="5"/>
    <x v="9"/>
    <n v="31.9"/>
    <n v="159.5"/>
    <x v="86"/>
    <x v="12"/>
    <d v="2025-03-30T00:00:00"/>
    <x v="1"/>
    <x v="2"/>
    <x v="2"/>
    <x v="2"/>
    <x v="2"/>
    <x v="0"/>
    <x v="28"/>
  </r>
  <r>
    <x v="2374"/>
    <x v="14"/>
    <x v="9"/>
    <n v="15.8"/>
    <n v="79"/>
    <x v="87"/>
    <x v="12"/>
    <d v="2025-03-30T00:00:00"/>
    <x v="3"/>
    <x v="1"/>
    <x v="1"/>
    <x v="3"/>
    <x v="2"/>
    <x v="0"/>
    <x v="21"/>
  </r>
  <r>
    <x v="2375"/>
    <x v="10"/>
    <x v="1"/>
    <n v="25.1"/>
    <n v="50.2"/>
    <x v="87"/>
    <x v="12"/>
    <d v="2025-03-31T00:00:00"/>
    <x v="1"/>
    <x v="0"/>
    <x v="0"/>
    <x v="1"/>
    <x v="0"/>
    <x v="0"/>
    <x v="21"/>
  </r>
  <r>
    <x v="2376"/>
    <x v="1"/>
    <x v="44"/>
    <n v="38.1"/>
    <n v="876.30000000000007"/>
    <x v="87"/>
    <x v="12"/>
    <d v="2025-03-30T00:00:00"/>
    <x v="3"/>
    <x v="2"/>
    <x v="2"/>
    <x v="4"/>
    <x v="0"/>
    <x v="0"/>
    <x v="1"/>
  </r>
  <r>
    <x v="2377"/>
    <x v="3"/>
    <x v="1"/>
    <n v="42.2"/>
    <n v="84.4"/>
    <x v="87"/>
    <x v="12"/>
    <d v="2025-03-31T00:00:00"/>
    <x v="1"/>
    <x v="2"/>
    <x v="2"/>
    <x v="0"/>
    <x v="2"/>
    <x v="0"/>
    <x v="1"/>
  </r>
  <r>
    <x v="2378"/>
    <x v="0"/>
    <x v="7"/>
    <n v="12.3"/>
    <n v="123"/>
    <x v="87"/>
    <x v="12"/>
    <d v="2025-03-30T00:00:00"/>
    <x v="3"/>
    <x v="2"/>
    <x v="2"/>
    <x v="4"/>
    <x v="0"/>
    <x v="0"/>
    <x v="2"/>
  </r>
  <r>
    <x v="2379"/>
    <x v="7"/>
    <x v="0"/>
    <n v="30.2"/>
    <n v="30.2"/>
    <x v="87"/>
    <x v="12"/>
    <d v="2025-03-31T00:00:00"/>
    <x v="1"/>
    <x v="2"/>
    <x v="2"/>
    <x v="1"/>
    <x v="2"/>
    <x v="0"/>
    <x v="34"/>
  </r>
  <r>
    <x v="2380"/>
    <x v="5"/>
    <x v="2"/>
    <n v="25.3"/>
    <n v="75.900000000000006"/>
    <x v="87"/>
    <x v="12"/>
    <d v="2025-04-01T00:00:00"/>
    <x v="2"/>
    <x v="2"/>
    <x v="2"/>
    <x v="2"/>
    <x v="0"/>
    <x v="0"/>
    <x v="3"/>
  </r>
  <r>
    <x v="2381"/>
    <x v="8"/>
    <x v="9"/>
    <n v="29.7"/>
    <n v="148.5"/>
    <x v="87"/>
    <x v="12"/>
    <d v="2025-03-31T00:00:00"/>
    <x v="1"/>
    <x v="1"/>
    <x v="1"/>
    <x v="3"/>
    <x v="0"/>
    <x v="0"/>
    <x v="3"/>
  </r>
  <r>
    <x v="2382"/>
    <x v="9"/>
    <x v="8"/>
    <n v="32.9"/>
    <n v="263.2"/>
    <x v="87"/>
    <x v="12"/>
    <d v="2025-03-30T00:00:00"/>
    <x v="3"/>
    <x v="0"/>
    <x v="0"/>
    <x v="3"/>
    <x v="2"/>
    <x v="0"/>
    <x v="3"/>
  </r>
  <r>
    <x v="2383"/>
    <x v="10"/>
    <x v="1"/>
    <n v="43.6"/>
    <n v="87.2"/>
    <x v="87"/>
    <x v="12"/>
    <d v="2025-03-30T00:00:00"/>
    <x v="3"/>
    <x v="1"/>
    <x v="1"/>
    <x v="1"/>
    <x v="2"/>
    <x v="0"/>
    <x v="3"/>
  </r>
  <r>
    <x v="2384"/>
    <x v="15"/>
    <x v="12"/>
    <n v="78.400000000000006"/>
    <n v="313.60000000000002"/>
    <x v="87"/>
    <x v="12"/>
    <d v="2025-03-30T00:00:00"/>
    <x v="3"/>
    <x v="1"/>
    <x v="1"/>
    <x v="2"/>
    <x v="0"/>
    <x v="0"/>
    <x v="3"/>
  </r>
  <r>
    <x v="2385"/>
    <x v="6"/>
    <x v="1"/>
    <n v="56.5"/>
    <n v="113"/>
    <x v="87"/>
    <x v="12"/>
    <d v="2025-04-02T00:00:00"/>
    <x v="5"/>
    <x v="1"/>
    <x v="1"/>
    <x v="1"/>
    <x v="1"/>
    <x v="0"/>
    <x v="3"/>
  </r>
  <r>
    <x v="2386"/>
    <x v="16"/>
    <x v="0"/>
    <n v="36.700000000000003"/>
    <n v="36.700000000000003"/>
    <x v="87"/>
    <x v="12"/>
    <d v="2025-03-30T00:00:00"/>
    <x v="3"/>
    <x v="2"/>
    <x v="2"/>
    <x v="0"/>
    <x v="2"/>
    <x v="0"/>
    <x v="3"/>
  </r>
  <r>
    <x v="2387"/>
    <x v="2"/>
    <x v="12"/>
    <n v="103.6"/>
    <n v="414.4"/>
    <x v="87"/>
    <x v="12"/>
    <d v="2025-04-09T00:00:00"/>
    <x v="11"/>
    <x v="1"/>
    <x v="1"/>
    <x v="4"/>
    <x v="2"/>
    <x v="0"/>
    <x v="3"/>
  </r>
  <r>
    <x v="2388"/>
    <x v="8"/>
    <x v="13"/>
    <n v="16.2"/>
    <n v="97.199999999999989"/>
    <x v="87"/>
    <x v="12"/>
    <d v="2025-04-02T00:00:00"/>
    <x v="5"/>
    <x v="1"/>
    <x v="1"/>
    <x v="1"/>
    <x v="2"/>
    <x v="0"/>
    <x v="6"/>
  </r>
  <r>
    <x v="2389"/>
    <x v="8"/>
    <x v="1"/>
    <n v="20.2"/>
    <n v="40.4"/>
    <x v="87"/>
    <x v="12"/>
    <d v="2025-03-30T00:00:00"/>
    <x v="3"/>
    <x v="2"/>
    <x v="2"/>
    <x v="0"/>
    <x v="0"/>
    <x v="0"/>
    <x v="6"/>
  </r>
  <r>
    <x v="2390"/>
    <x v="11"/>
    <x v="1"/>
    <n v="26.9"/>
    <n v="53.8"/>
    <x v="87"/>
    <x v="12"/>
    <d v="2025-03-31T00:00:00"/>
    <x v="1"/>
    <x v="2"/>
    <x v="2"/>
    <x v="2"/>
    <x v="0"/>
    <x v="0"/>
    <x v="6"/>
  </r>
  <r>
    <x v="2391"/>
    <x v="1"/>
    <x v="1"/>
    <n v="82.4"/>
    <n v="164.8"/>
    <x v="87"/>
    <x v="12"/>
    <d v="2025-04-01T00:00:00"/>
    <x v="2"/>
    <x v="0"/>
    <x v="0"/>
    <x v="0"/>
    <x v="0"/>
    <x v="0"/>
    <x v="7"/>
  </r>
  <r>
    <x v="2392"/>
    <x v="2"/>
    <x v="1"/>
    <n v="117.8"/>
    <n v="235.6"/>
    <x v="87"/>
    <x v="12"/>
    <d v="2025-03-31T00:00:00"/>
    <x v="1"/>
    <x v="1"/>
    <x v="1"/>
    <x v="1"/>
    <x v="2"/>
    <x v="0"/>
    <x v="8"/>
  </r>
  <r>
    <x v="2393"/>
    <x v="11"/>
    <x v="12"/>
    <n v="36.700000000000003"/>
    <n v="146.80000000000001"/>
    <x v="87"/>
    <x v="12"/>
    <d v="2025-03-30T00:00:00"/>
    <x v="3"/>
    <x v="1"/>
    <x v="1"/>
    <x v="1"/>
    <x v="0"/>
    <x v="0"/>
    <x v="8"/>
  </r>
  <r>
    <x v="2394"/>
    <x v="17"/>
    <x v="2"/>
    <n v="46.8"/>
    <n v="140.39999999999998"/>
    <x v="87"/>
    <x v="12"/>
    <d v="2025-03-30T00:00:00"/>
    <x v="3"/>
    <x v="1"/>
    <x v="1"/>
    <x v="4"/>
    <x v="2"/>
    <x v="0"/>
    <x v="10"/>
  </r>
  <r>
    <x v="2395"/>
    <x v="3"/>
    <x v="0"/>
    <n v="61.4"/>
    <n v="61.4"/>
    <x v="87"/>
    <x v="12"/>
    <d v="2025-03-30T00:00:00"/>
    <x v="3"/>
    <x v="1"/>
    <x v="1"/>
    <x v="1"/>
    <x v="0"/>
    <x v="0"/>
    <x v="10"/>
  </r>
  <r>
    <x v="2396"/>
    <x v="15"/>
    <x v="1"/>
    <n v="22.9"/>
    <n v="45.8"/>
    <x v="87"/>
    <x v="12"/>
    <d v="2025-03-30T00:00:00"/>
    <x v="3"/>
    <x v="1"/>
    <x v="1"/>
    <x v="0"/>
    <x v="0"/>
    <x v="0"/>
    <x v="11"/>
  </r>
  <r>
    <x v="2397"/>
    <x v="10"/>
    <x v="1"/>
    <n v="22.1"/>
    <n v="44.2"/>
    <x v="87"/>
    <x v="12"/>
    <d v="2025-03-30T00:00:00"/>
    <x v="3"/>
    <x v="2"/>
    <x v="2"/>
    <x v="4"/>
    <x v="0"/>
    <x v="0"/>
    <x v="11"/>
  </r>
  <r>
    <x v="2398"/>
    <x v="12"/>
    <x v="1"/>
    <n v="31"/>
    <n v="62"/>
    <x v="87"/>
    <x v="12"/>
    <d v="2025-03-31T00:00:00"/>
    <x v="1"/>
    <x v="2"/>
    <x v="2"/>
    <x v="2"/>
    <x v="0"/>
    <x v="0"/>
    <x v="18"/>
  </r>
  <r>
    <x v="2399"/>
    <x v="18"/>
    <x v="1"/>
    <n v="84.2"/>
    <n v="168.4"/>
    <x v="87"/>
    <x v="12"/>
    <d v="2025-03-31T00:00:00"/>
    <x v="1"/>
    <x v="1"/>
    <x v="1"/>
    <x v="2"/>
    <x v="2"/>
    <x v="0"/>
    <x v="1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D986601-5D14-4A8D-A676-1CB077E19034}" name="Pivot_County"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fieldListSortAscending="1">
  <location ref="L24:O82" firstHeaderRow="0" firstDataRow="1" firstDataCol="2"/>
  <pivotFields count="18">
    <pivotField dataField="1" compact="0" outline="0" showAll="0" defaultSubtotal="0">
      <items count="24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48">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items count="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4">
        <item x="2"/>
        <item x="1"/>
        <item x="3"/>
        <item x="0"/>
      </items>
      <extLst>
        <ext xmlns:x14="http://schemas.microsoft.com/office/spreadsheetml/2009/9/main" uri="{2946ED86-A175-432a-8AC1-64E0C546D7DE}">
          <x14:pivotField fillDownLabels="1"/>
        </ext>
      </extLst>
    </pivotField>
    <pivotField compact="0" outline="0" showAll="0" defaultSubtotal="0">
      <items count="5">
        <item x="0"/>
        <item x="3"/>
        <item x="4"/>
        <item x="2"/>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sortType="descending" defaultSubtotal="0">
      <items count="1">
        <item x="0"/>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axis="axisRow" compact="0" outline="0" showAll="0" sortType="descending" defaultSubtotal="0">
      <items count="58">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compact="0" outline="0" showAll="0" defaultSubtotal="0">
      <items count="7">
        <item x="0"/>
        <item x="1"/>
        <item x="2"/>
        <item x="4"/>
        <item x="3"/>
        <item x="5"/>
        <item x="6"/>
      </items>
      <extLst>
        <ext xmlns:x14="http://schemas.microsoft.com/office/spreadsheetml/2009/9/main" uri="{2946ED86-A175-432a-8AC1-64E0C546D7DE}">
          <x14:pivotField fillDownLabels="1"/>
        </ext>
      </extLst>
    </pivotField>
    <pivotField compact="0" outline="0" subtotalTop="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extLst>
        <ext xmlns:x14="http://schemas.microsoft.com/office/spreadsheetml/2009/9/main" uri="{2946ED86-A175-432a-8AC1-64E0C546D7DE}">
          <x14:pivotField fillDownLabels="1"/>
        </ext>
      </extLst>
    </pivotField>
    <pivotField compact="0" outline="0" subtotalTop="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s>
  <rowFields count="2">
    <field x="13"/>
    <field x="14"/>
  </rowFields>
  <rowItems count="58">
    <i>
      <x/>
      <x v="18"/>
    </i>
    <i r="1">
      <x v="36"/>
    </i>
    <i r="1">
      <x v="33"/>
    </i>
    <i r="1">
      <x v="42"/>
    </i>
    <i r="1">
      <x/>
    </i>
    <i r="1">
      <x v="6"/>
    </i>
    <i r="1">
      <x v="40"/>
    </i>
    <i r="1">
      <x v="35"/>
    </i>
    <i r="1">
      <x v="37"/>
    </i>
    <i r="1">
      <x v="14"/>
    </i>
    <i r="1">
      <x v="9"/>
    </i>
    <i r="1">
      <x v="49"/>
    </i>
    <i r="1">
      <x v="48"/>
    </i>
    <i r="1">
      <x v="55"/>
    </i>
    <i r="1">
      <x v="29"/>
    </i>
    <i r="1">
      <x v="41"/>
    </i>
    <i r="1">
      <x v="32"/>
    </i>
    <i r="1">
      <x v="53"/>
    </i>
    <i r="1">
      <x v="30"/>
    </i>
    <i r="1">
      <x v="38"/>
    </i>
    <i r="1">
      <x v="23"/>
    </i>
    <i r="1">
      <x v="15"/>
    </i>
    <i r="1">
      <x v="11"/>
    </i>
    <i r="1">
      <x v="27"/>
    </i>
    <i r="1">
      <x v="19"/>
    </i>
    <i r="1">
      <x v="12"/>
    </i>
    <i r="1">
      <x v="44"/>
    </i>
    <i r="1">
      <x v="20"/>
    </i>
    <i r="1">
      <x v="28"/>
    </i>
    <i r="1">
      <x v="50"/>
    </i>
    <i r="1">
      <x v="34"/>
    </i>
    <i r="1">
      <x v="8"/>
    </i>
    <i r="1">
      <x v="16"/>
    </i>
    <i r="1">
      <x v="43"/>
    </i>
    <i r="1">
      <x v="26"/>
    </i>
    <i r="1">
      <x v="47"/>
    </i>
    <i r="1">
      <x v="3"/>
    </i>
    <i r="1">
      <x v="54"/>
    </i>
    <i r="1">
      <x v="56"/>
    </i>
    <i r="1">
      <x v="2"/>
    </i>
    <i r="1">
      <x v="46"/>
    </i>
    <i r="1">
      <x v="10"/>
    </i>
    <i r="1">
      <x v="39"/>
    </i>
    <i r="1">
      <x v="22"/>
    </i>
    <i r="1">
      <x v="13"/>
    </i>
    <i r="1">
      <x v="52"/>
    </i>
    <i r="1">
      <x v="21"/>
    </i>
    <i r="1">
      <x v="4"/>
    </i>
    <i r="1">
      <x v="5"/>
    </i>
    <i r="1">
      <x v="51"/>
    </i>
    <i r="1">
      <x v="31"/>
    </i>
    <i r="1">
      <x v="25"/>
    </i>
    <i r="1">
      <x v="24"/>
    </i>
    <i r="1">
      <x v="1"/>
    </i>
    <i r="1">
      <x v="17"/>
    </i>
    <i r="1">
      <x v="57"/>
    </i>
    <i r="1">
      <x v="7"/>
    </i>
    <i r="1">
      <x v="45"/>
    </i>
  </rowItems>
  <colFields count="1">
    <field x="-2"/>
  </colFields>
  <colItems count="2">
    <i>
      <x/>
    </i>
    <i i="1">
      <x v="1"/>
    </i>
  </colItems>
  <dataFields count="2">
    <dataField name="Total Orders" fld="0" subtotal="count" baseField="0" baseItem="1" numFmtId="3"/>
    <dataField name="Total Amount" fld="4" baseField="0" baseItem="2" numFmtId="164"/>
  </dataFields>
  <pivotTableStyleInfo name="PivotStyleLight14"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C802CCE-2DB5-4F2D-8F0A-6DD605EA4966}" name="Pivot_QuantityTotal"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fieldListSortAscending="1">
  <location ref="L7:M15" firstHeaderRow="1" firstDataRow="1" firstDataCol="1"/>
  <pivotFields count="18">
    <pivotField dataField="1"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items count="21">
        <item x="14"/>
        <item x="10"/>
        <item x="12"/>
        <item x="15"/>
        <item x="4"/>
        <item x="7"/>
        <item x="6"/>
        <item x="19"/>
        <item x="18"/>
        <item x="11"/>
        <item x="17"/>
        <item x="5"/>
        <item x="0"/>
        <item x="2"/>
        <item x="9"/>
        <item x="16"/>
        <item x="1"/>
        <item x="13"/>
        <item x="8"/>
        <item x="3"/>
        <item t="default"/>
      </items>
    </pivotField>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showAll="0"/>
    <pivotField showAll="0"/>
    <pivotField showAll="0"/>
    <pivotField showAll="0"/>
    <pivotField showAll="0">
      <items count="5">
        <item x="2"/>
        <item x="1"/>
        <item x="3"/>
        <item x="0"/>
        <item t="default"/>
      </items>
    </pivotField>
    <pivotField showAll="0">
      <items count="6">
        <item x="0"/>
        <item x="3"/>
        <item x="4"/>
        <item x="2"/>
        <item x="1"/>
        <item t="default"/>
      </items>
    </pivotField>
    <pivotField showAll="0"/>
    <pivotField showAll="0"/>
    <pivotField showAll="0"/>
    <pivotField axis="axisRow" showAll="0">
      <items count="8">
        <item x="0"/>
        <item x="1"/>
        <item x="2"/>
        <item x="4"/>
        <item x="3"/>
        <item n="6 to 10" sd="0" x="5"/>
        <item n="More than 10" sd="0"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5"/>
  </rowFields>
  <rowItems count="8">
    <i>
      <x/>
    </i>
    <i>
      <x v="1"/>
    </i>
    <i>
      <x v="2"/>
    </i>
    <i>
      <x v="3"/>
    </i>
    <i>
      <x v="4"/>
    </i>
    <i>
      <x v="5"/>
    </i>
    <i>
      <x v="6"/>
    </i>
    <i t="grand">
      <x/>
    </i>
  </rowItems>
  <colItems count="1">
    <i/>
  </colItems>
  <dataFields count="1">
    <dataField name="Total Orders" fld="0" subtotal="count" baseField="0" baseItem="1" numFmtId="3"/>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5EA059A-ED98-4878-954A-A8EE6DE19BFD}" name="Pivot_Happy"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8" fieldListSortAscending="1">
  <location ref="D51:J56" firstHeaderRow="1" firstDataRow="2" firstDataCol="1"/>
  <pivotFields count="18">
    <pivotField dataField="1"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showAll="0"/>
    <pivotField showAll="0"/>
    <pivotField showAll="0"/>
    <pivotField showAll="0"/>
    <pivotField showAll="0">
      <items count="5">
        <item x="2"/>
        <item x="1"/>
        <item x="3"/>
        <item x="0"/>
        <item t="default"/>
      </items>
    </pivotField>
    <pivotField showAll="0">
      <items count="6">
        <item x="0"/>
        <item x="3"/>
        <item x="4"/>
        <item x="2"/>
        <item x="1"/>
        <item t="default"/>
      </items>
    </pivotField>
    <pivotField axis="axisCol" showAll="0">
      <items count="6">
        <item x="3"/>
        <item x="4"/>
        <item x="1"/>
        <item x="0"/>
        <item x="2"/>
        <item t="default"/>
      </items>
    </pivotField>
    <pivotField showAll="0"/>
    <pivotField showAll="0"/>
    <pivotField showAll="0">
      <items count="8">
        <item x="0"/>
        <item x="1"/>
        <item x="2"/>
        <item x="4"/>
        <item x="3"/>
        <item x="5"/>
        <item x="6"/>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7"/>
  </rowFields>
  <rowItems count="4">
    <i>
      <x v="1"/>
    </i>
    <i>
      <x v="2"/>
    </i>
    <i>
      <x v="3"/>
    </i>
    <i t="grand">
      <x/>
    </i>
  </rowItems>
  <colFields count="1">
    <field x="12"/>
  </colFields>
  <colItems count="6">
    <i>
      <x/>
    </i>
    <i>
      <x v="1"/>
    </i>
    <i>
      <x v="2"/>
    </i>
    <i>
      <x v="3"/>
    </i>
    <i>
      <x v="4"/>
    </i>
    <i t="grand">
      <x/>
    </i>
  </colItems>
  <dataFields count="1">
    <dataField name="Total Orders" fld="0" subtotal="count" baseField="0" baseItem="1" numFmtId="3"/>
  </dataFields>
  <chartFormats count="8">
    <chartFormat chart="7" format="6" series="1">
      <pivotArea type="data" outline="0" fieldPosition="0">
        <references count="2">
          <reference field="4294967294" count="1" selected="0">
            <x v="0"/>
          </reference>
          <reference field="17" count="1" selected="0">
            <x v="1"/>
          </reference>
        </references>
      </pivotArea>
    </chartFormat>
    <chartFormat chart="7" format="7" series="1">
      <pivotArea type="data" outline="0" fieldPosition="0">
        <references count="2">
          <reference field="4294967294" count="1" selected="0">
            <x v="0"/>
          </reference>
          <reference field="17" count="1" selected="0">
            <x v="2"/>
          </reference>
        </references>
      </pivotArea>
    </chartFormat>
    <chartFormat chart="7" format="8" series="1">
      <pivotArea type="data" outline="0" fieldPosition="0">
        <references count="2">
          <reference field="4294967294" count="1" selected="0">
            <x v="0"/>
          </reference>
          <reference field="17" count="1" selected="0">
            <x v="3"/>
          </reference>
        </references>
      </pivotArea>
    </chartFormat>
    <chartFormat chart="7" format="9" series="1">
      <pivotArea type="data" outline="0" fieldPosition="0">
        <references count="2">
          <reference field="4294967294" count="1" selected="0">
            <x v="0"/>
          </reference>
          <reference field="12" count="1" selected="0">
            <x v="3"/>
          </reference>
        </references>
      </pivotArea>
    </chartFormat>
    <chartFormat chart="7" format="10" series="1">
      <pivotArea type="data" outline="0" fieldPosition="0">
        <references count="2">
          <reference field="4294967294" count="1" selected="0">
            <x v="0"/>
          </reference>
          <reference field="12" count="1" selected="0">
            <x v="4"/>
          </reference>
        </references>
      </pivotArea>
    </chartFormat>
    <chartFormat chart="7" format="11" series="1">
      <pivotArea type="data" outline="0" fieldPosition="0">
        <references count="2">
          <reference field="4294967294" count="1" selected="0">
            <x v="0"/>
          </reference>
          <reference field="12" count="1" selected="0">
            <x v="0"/>
          </reference>
        </references>
      </pivotArea>
    </chartFormat>
    <chartFormat chart="7" format="12" series="1">
      <pivotArea type="data" outline="0" fieldPosition="0">
        <references count="2">
          <reference field="4294967294" count="1" selected="0">
            <x v="0"/>
          </reference>
          <reference field="12" count="1" selected="0">
            <x v="1"/>
          </reference>
        </references>
      </pivotArea>
    </chartFormat>
    <chartFormat chart="7" format="13" series="1">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B6857D9-EC7D-4311-AA06-FFF32473FB4F}" name="Pivot_Tren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fieldListSortAscending="1">
  <location ref="A7:C21" firstHeaderRow="0" firstDataRow="1" firstDataCol="1"/>
  <pivotFields count="18">
    <pivotField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axis="axisRow" showAll="0">
      <items count="14">
        <item x="0"/>
        <item x="1"/>
        <item x="2"/>
        <item x="3"/>
        <item x="4"/>
        <item x="5"/>
        <item x="6"/>
        <item x="7"/>
        <item x="8"/>
        <item x="9"/>
        <item x="10"/>
        <item x="11"/>
        <item x="12"/>
        <item t="default"/>
      </items>
    </pivotField>
    <pivotField showAll="0"/>
    <pivotField showAll="0"/>
    <pivotField showAll="0"/>
    <pivotField showAll="0">
      <items count="5">
        <item x="2"/>
        <item x="1"/>
        <item x="3"/>
        <item x="0"/>
        <item t="default"/>
      </items>
    </pivotField>
    <pivotField showAll="0">
      <items count="6">
        <item x="0"/>
        <item x="3"/>
        <item x="4"/>
        <item x="2"/>
        <item x="1"/>
        <item t="default"/>
      </items>
    </pivotField>
    <pivotField showAll="0"/>
    <pivotField showAll="0"/>
    <pivotField showAll="0"/>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14">
    <i>
      <x/>
    </i>
    <i>
      <x v="1"/>
    </i>
    <i>
      <x v="2"/>
    </i>
    <i>
      <x v="3"/>
    </i>
    <i>
      <x v="4"/>
    </i>
    <i>
      <x v="5"/>
    </i>
    <i>
      <x v="6"/>
    </i>
    <i>
      <x v="7"/>
    </i>
    <i>
      <x v="8"/>
    </i>
    <i>
      <x v="9"/>
    </i>
    <i>
      <x v="10"/>
    </i>
    <i>
      <x v="11"/>
    </i>
    <i>
      <x v="12"/>
    </i>
    <i t="grand">
      <x/>
    </i>
  </rowItems>
  <colFields count="1">
    <field x="-2"/>
  </colFields>
  <colItems count="2">
    <i>
      <x/>
    </i>
    <i i="1">
      <x v="1"/>
    </i>
  </colItems>
  <dataFields count="2">
    <dataField name="Total Quantity" fld="2" baseField="0" baseItem="1" numFmtId="3"/>
    <dataField name="Total Amount" fld="4" baseField="0" baseItem="2" numFmtId="164"/>
  </dataFields>
  <chartFormats count="2">
    <chartFormat chart="19" format="4" series="1">
      <pivotArea type="data" outline="0" fieldPosition="0">
        <references count="1">
          <reference field="4294967294" count="1" selected="0">
            <x v="0"/>
          </reference>
        </references>
      </pivotArea>
    </chartFormat>
    <chartFormat chart="19"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97470B7-4669-46DA-ABEC-EC2A16FF0A66}" name="Pivot_KPI"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fieldListSortAscending="1">
  <location ref="A1:E2" firstHeaderRow="0" firstDataRow="1" firstDataCol="0"/>
  <pivotFields count="18">
    <pivotField dataField="1"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showAll="0"/>
    <pivotField showAll="0"/>
    <pivotField dataField="1" showAll="0"/>
    <pivotField showAll="0"/>
    <pivotField showAll="0">
      <items count="5">
        <item x="2"/>
        <item x="1"/>
        <item x="3"/>
        <item x="0"/>
        <item t="default"/>
      </items>
    </pivotField>
    <pivotField showAll="0">
      <items count="6">
        <item x="0"/>
        <item x="3"/>
        <item x="4"/>
        <item x="2"/>
        <item x="1"/>
        <item t="default"/>
      </items>
    </pivotField>
    <pivotField dataField="1" showAll="0"/>
    <pivotField showAll="0"/>
    <pivotField showAll="0"/>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5">
    <i>
      <x/>
    </i>
    <i i="1">
      <x v="1"/>
    </i>
    <i i="2">
      <x v="2"/>
    </i>
    <i i="3">
      <x v="3"/>
    </i>
    <i i="4">
      <x v="4"/>
    </i>
  </colItems>
  <dataFields count="5">
    <dataField name="Total Orders" fld="0" subtotal="count" baseField="0" baseItem="1" numFmtId="3"/>
    <dataField name="Total Quantity" fld="2" baseField="0" baseItem="1" numFmtId="3"/>
    <dataField name="Total Amount" fld="4" baseField="0" baseItem="2" numFmtId="164"/>
    <dataField name="Average Rating" fld="12" subtotal="average" baseField="0" baseItem="1" numFmtId="4"/>
    <dataField name="Average Days_to_Deliver" fld="8" subtotal="average" baseField="0" baseItem="1" numFmtId="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E726908-1967-4E7D-B5A0-16EA65A0D8A9}" name="Pivot_Gend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fieldListSortAscending="1">
  <location ref="H24:I29" firstHeaderRow="1" firstDataRow="1" firstDataCol="1"/>
  <pivotFields count="18">
    <pivotField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showAll="0"/>
    <pivotField showAll="0"/>
    <pivotField showAll="0"/>
    <pivotField showAll="0"/>
    <pivotField axis="axisRow" showAll="0">
      <items count="5">
        <item x="2"/>
        <item x="1"/>
        <item x="3"/>
        <item x="0"/>
        <item t="default"/>
      </items>
    </pivotField>
    <pivotField showAll="0">
      <items count="6">
        <item x="0"/>
        <item x="3"/>
        <item x="4"/>
        <item x="2"/>
        <item x="1"/>
        <item t="default"/>
      </items>
    </pivotField>
    <pivotField showAll="0"/>
    <pivotField showAll="0"/>
    <pivotField showAll="0"/>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0"/>
  </rowFields>
  <rowItems count="5">
    <i>
      <x/>
    </i>
    <i>
      <x v="1"/>
    </i>
    <i>
      <x v="2"/>
    </i>
    <i>
      <x v="3"/>
    </i>
    <i t="grand">
      <x/>
    </i>
  </rowItems>
  <colItems count="1">
    <i/>
  </colItems>
  <dataFields count="1">
    <dataField name="Sum of Quantity" fld="2" baseField="0" baseItem="0"/>
  </dataFields>
  <chartFormats count="13">
    <chartFormat chart="0" format="0" series="1">
      <pivotArea type="data" outline="0" fieldPosition="0">
        <references count="2">
          <reference field="4294967294" count="1" selected="0">
            <x v="0"/>
          </reference>
          <reference field="10" count="1" selected="0">
            <x v="0"/>
          </reference>
        </references>
      </pivotArea>
    </chartFormat>
    <chartFormat chart="0" format="1" series="1">
      <pivotArea type="data" outline="0" fieldPosition="0">
        <references count="2">
          <reference field="4294967294" count="1" selected="0">
            <x v="0"/>
          </reference>
          <reference field="10" count="1" selected="0">
            <x v="1"/>
          </reference>
        </references>
      </pivotArea>
    </chartFormat>
    <chartFormat chart="0" format="2" series="1">
      <pivotArea type="data" outline="0" fieldPosition="0">
        <references count="2">
          <reference field="4294967294" count="1" selected="0">
            <x v="0"/>
          </reference>
          <reference field="10" count="1" selected="0">
            <x v="2"/>
          </reference>
        </references>
      </pivotArea>
    </chartFormat>
    <chartFormat chart="0" format="3" series="1">
      <pivotArea type="data" outline="0" fieldPosition="0">
        <references count="2">
          <reference field="4294967294" count="1" selected="0">
            <x v="0"/>
          </reference>
          <reference field="10" count="1" selected="0">
            <x v="3"/>
          </reference>
        </references>
      </pivotArea>
    </chartFormat>
    <chartFormat chart="4" format="8" series="1">
      <pivotArea type="data" outline="0" fieldPosition="0">
        <references count="2">
          <reference field="4294967294" count="1" selected="0">
            <x v="0"/>
          </reference>
          <reference field="10" count="1" selected="0">
            <x v="0"/>
          </reference>
        </references>
      </pivotArea>
    </chartFormat>
    <chartFormat chart="4" format="9" series="1">
      <pivotArea type="data" outline="0" fieldPosition="0">
        <references count="2">
          <reference field="4294967294" count="1" selected="0">
            <x v="0"/>
          </reference>
          <reference field="10" count="1" selected="0">
            <x v="1"/>
          </reference>
        </references>
      </pivotArea>
    </chartFormat>
    <chartFormat chart="4" format="10" series="1">
      <pivotArea type="data" outline="0" fieldPosition="0">
        <references count="2">
          <reference field="4294967294" count="1" selected="0">
            <x v="0"/>
          </reference>
          <reference field="10" count="1" selected="0">
            <x v="2"/>
          </reference>
        </references>
      </pivotArea>
    </chartFormat>
    <chartFormat chart="4" format="11" series="1">
      <pivotArea type="data" outline="0" fieldPosition="0">
        <references count="2">
          <reference field="4294967294" count="1" selected="0">
            <x v="0"/>
          </reference>
          <reference field="10" count="1" selected="0">
            <x v="3"/>
          </reference>
        </references>
      </pivotArea>
    </chartFormat>
    <chartFormat chart="12" format="6" series="1">
      <pivotArea type="data" outline="0" fieldPosition="0">
        <references count="1">
          <reference field="4294967294" count="1" selected="0">
            <x v="0"/>
          </reference>
        </references>
      </pivotArea>
    </chartFormat>
    <chartFormat chart="12" format="7">
      <pivotArea type="data" outline="0" fieldPosition="0">
        <references count="2">
          <reference field="4294967294" count="1" selected="0">
            <x v="0"/>
          </reference>
          <reference field="10" count="1" selected="0">
            <x v="0"/>
          </reference>
        </references>
      </pivotArea>
    </chartFormat>
    <chartFormat chart="12" format="8">
      <pivotArea type="data" outline="0" fieldPosition="0">
        <references count="2">
          <reference field="4294967294" count="1" selected="0">
            <x v="0"/>
          </reference>
          <reference field="10" count="1" selected="0">
            <x v="1"/>
          </reference>
        </references>
      </pivotArea>
    </chartFormat>
    <chartFormat chart="12" format="9">
      <pivotArea type="data" outline="0" fieldPosition="0">
        <references count="2">
          <reference field="4294967294" count="1" selected="0">
            <x v="0"/>
          </reference>
          <reference field="10" count="1" selected="0">
            <x v="2"/>
          </reference>
        </references>
      </pivotArea>
    </chartFormat>
    <chartFormat chart="12" format="10">
      <pivotArea type="data" outline="0" fieldPosition="0">
        <references count="2">
          <reference field="4294967294" count="1" selected="0">
            <x v="0"/>
          </reference>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7B167E7-D651-4D45-B233-B2F94FAB9D6F}" name="Pivot_DaystoShip"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fieldListSortAscending="1">
  <location ref="A51:B67" firstHeaderRow="1" firstDataRow="1" firstDataCol="1"/>
  <pivotFields count="18">
    <pivotField dataField="1"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showAll="0"/>
    <pivotField showAll="0"/>
    <pivotField axis="axisRow" showAll="0">
      <items count="16">
        <item x="7"/>
        <item x="3"/>
        <item x="1"/>
        <item x="2"/>
        <item x="5"/>
        <item x="0"/>
        <item x="4"/>
        <item x="6"/>
        <item x="9"/>
        <item x="8"/>
        <item x="14"/>
        <item x="11"/>
        <item x="13"/>
        <item x="10"/>
        <item x="12"/>
        <item t="default"/>
      </items>
    </pivotField>
    <pivotField showAll="0"/>
    <pivotField showAll="0">
      <items count="5">
        <item x="2"/>
        <item x="1"/>
        <item x="3"/>
        <item x="0"/>
        <item t="default"/>
      </items>
    </pivotField>
    <pivotField showAll="0">
      <items count="6">
        <item x="0"/>
        <item x="3"/>
        <item x="4"/>
        <item x="2"/>
        <item x="1"/>
        <item t="default"/>
      </items>
    </pivotField>
    <pivotField showAll="0"/>
    <pivotField showAll="0"/>
    <pivotField showAll="0"/>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16">
    <i>
      <x/>
    </i>
    <i>
      <x v="1"/>
    </i>
    <i>
      <x v="2"/>
    </i>
    <i>
      <x v="3"/>
    </i>
    <i>
      <x v="4"/>
    </i>
    <i>
      <x v="5"/>
    </i>
    <i>
      <x v="6"/>
    </i>
    <i>
      <x v="7"/>
    </i>
    <i>
      <x v="8"/>
    </i>
    <i>
      <x v="9"/>
    </i>
    <i>
      <x v="10"/>
    </i>
    <i>
      <x v="11"/>
    </i>
    <i>
      <x v="12"/>
    </i>
    <i>
      <x v="13"/>
    </i>
    <i>
      <x v="14"/>
    </i>
    <i t="grand">
      <x/>
    </i>
  </rowItems>
  <colItems count="1">
    <i/>
  </colItems>
  <dataFields count="1">
    <dataField name="Total Orders" fld="0" subtotal="count" baseField="0" baseItem="1" numFmtId="3"/>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00241DD-7416-4332-8851-8067FD4C9BDD}" name="Pivot_ModeGend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E7:J14" firstHeaderRow="1" firstDataRow="2" firstDataCol="1"/>
  <pivotFields count="18">
    <pivotField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showAll="0"/>
    <pivotField showAll="0"/>
    <pivotField showAll="0"/>
    <pivotField showAll="0"/>
    <pivotField axis="axisCol" showAll="0">
      <items count="5">
        <item x="2"/>
        <item x="1"/>
        <item x="3"/>
        <item x="0"/>
        <item t="default"/>
      </items>
    </pivotField>
    <pivotField axis="axisRow" showAll="0">
      <items count="6">
        <item x="0"/>
        <item x="3"/>
        <item x="4"/>
        <item x="2"/>
        <item x="1"/>
        <item t="default"/>
      </items>
    </pivotField>
    <pivotField showAll="0"/>
    <pivotField showAll="0"/>
    <pivotField showAll="0"/>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1"/>
  </rowFields>
  <rowItems count="6">
    <i>
      <x/>
    </i>
    <i>
      <x v="1"/>
    </i>
    <i>
      <x v="2"/>
    </i>
    <i>
      <x v="3"/>
    </i>
    <i>
      <x v="4"/>
    </i>
    <i t="grand">
      <x/>
    </i>
  </rowItems>
  <colFields count="1">
    <field x="10"/>
  </colFields>
  <colItems count="5">
    <i>
      <x/>
    </i>
    <i>
      <x v="1"/>
    </i>
    <i>
      <x v="2"/>
    </i>
    <i>
      <x v="3"/>
    </i>
    <i t="grand">
      <x/>
    </i>
  </colItems>
  <dataFields count="1">
    <dataField name="Sum of Amount" fld="4" showDataAs="percentOfTotal" baseField="11"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F5EAF7D-13B2-4505-B42F-C04FEDFD17BE}" name="Pivot_Product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fieldListSortAscending="1">
  <location ref="A24:F46" firstHeaderRow="1" firstDataRow="2" firstDataCol="1"/>
  <pivotFields count="18">
    <pivotField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axis="axisRow"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showAll="0"/>
    <pivotField showAll="0"/>
    <pivotField showAll="0"/>
    <pivotField showAll="0"/>
    <pivotField axis="axisCol" showAll="0">
      <items count="5">
        <item x="2"/>
        <item x="1"/>
        <item x="3"/>
        <item x="0"/>
        <item t="default"/>
      </items>
    </pivotField>
    <pivotField showAll="0">
      <items count="6">
        <item x="0"/>
        <item x="3"/>
        <item x="4"/>
        <item x="2"/>
        <item x="1"/>
        <item t="default"/>
      </items>
    </pivotField>
    <pivotField showAll="0"/>
    <pivotField showAll="0"/>
    <pivotField showAll="0"/>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21">
    <i>
      <x v="18"/>
    </i>
    <i>
      <x v="6"/>
    </i>
    <i>
      <x v="13"/>
    </i>
    <i>
      <x v="16"/>
    </i>
    <i>
      <x v="1"/>
    </i>
    <i>
      <x v="12"/>
    </i>
    <i>
      <x v="14"/>
    </i>
    <i>
      <x v="4"/>
    </i>
    <i>
      <x v="5"/>
    </i>
    <i>
      <x v="11"/>
    </i>
    <i>
      <x v="3"/>
    </i>
    <i>
      <x v="8"/>
    </i>
    <i>
      <x v="2"/>
    </i>
    <i>
      <x v="19"/>
    </i>
    <i>
      <x v="10"/>
    </i>
    <i>
      <x v="9"/>
    </i>
    <i>
      <x v="15"/>
    </i>
    <i>
      <x v="17"/>
    </i>
    <i>
      <x/>
    </i>
    <i>
      <x v="7"/>
    </i>
    <i t="grand">
      <x/>
    </i>
  </rowItems>
  <colFields count="1">
    <field x="10"/>
  </colFields>
  <colItems count="5">
    <i>
      <x/>
    </i>
    <i>
      <x v="1"/>
    </i>
    <i>
      <x v="2"/>
    </i>
    <i>
      <x v="3"/>
    </i>
    <i t="grand">
      <x/>
    </i>
  </colItems>
  <dataFields count="1">
    <dataField name="Sum of Quantity" fld="2" baseField="0" baseItem="0"/>
  </dataFields>
  <chartFormats count="4">
    <chartFormat chart="4" format="8" series="1">
      <pivotArea type="data" outline="0" fieldPosition="0">
        <references count="2">
          <reference field="4294967294" count="1" selected="0">
            <x v="0"/>
          </reference>
          <reference field="10" count="1" selected="0">
            <x v="0"/>
          </reference>
        </references>
      </pivotArea>
    </chartFormat>
    <chartFormat chart="4" format="9" series="1">
      <pivotArea type="data" outline="0" fieldPosition="0">
        <references count="2">
          <reference field="4294967294" count="1" selected="0">
            <x v="0"/>
          </reference>
          <reference field="10" count="1" selected="0">
            <x v="1"/>
          </reference>
        </references>
      </pivotArea>
    </chartFormat>
    <chartFormat chart="4" format="10" series="1">
      <pivotArea type="data" outline="0" fieldPosition="0">
        <references count="2">
          <reference field="4294967294" count="1" selected="0">
            <x v="0"/>
          </reference>
          <reference field="10" count="1" selected="0">
            <x v="2"/>
          </reference>
        </references>
      </pivotArea>
    </chartFormat>
    <chartFormat chart="4" format="11" series="1">
      <pivotArea type="data" outline="0" fieldPosition="0">
        <references count="2">
          <reference field="4294967294" count="1" selected="0">
            <x v="0"/>
          </reference>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FCAD872B-784F-4F6D-9591-731D689CBADE}" sourceName="Gender">
  <pivotTables>
    <pivotTable tabId="1" name="Pivot_Happy"/>
    <pivotTable tabId="1" name="Pivot_DaystoShip"/>
    <pivotTable tabId="1" name="Pivot_KPI"/>
    <pivotTable tabId="1" name="Pivot_Trend"/>
    <pivotTable tabId="1" name="Pivot_QuantityTotal"/>
    <pivotTable tabId="1" name="Pivot_Products"/>
    <pivotTable tabId="1" name="Pivot_County"/>
  </pivotTables>
  <data>
    <tabular pivotCacheId="1826124132">
      <items count="4">
        <i x="2" s="1"/>
        <i x="1"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de" xr10:uid="{15B81ACB-E478-45A9-92EA-49AAA9142904}" sourceName="Order Mode">
  <pivotTables>
    <pivotTable tabId="1" name="Pivot_Happy"/>
    <pivotTable tabId="1" name="Pivot_DaystoShip"/>
    <pivotTable tabId="1" name="Pivot_KPI"/>
    <pivotTable tabId="1" name="Pivot_Trend"/>
    <pivotTable tabId="1" name="Pivot_QuantityTotal"/>
    <pivotTable tabId="1" name="Pivot_Products"/>
    <pivotTable tabId="1" name="Pivot_Gender"/>
    <pivotTable tabId="1" name="Pivot_County"/>
  </pivotTables>
  <data>
    <tabular pivotCacheId="1826124132">
      <items count="5">
        <i x="0" s="1"/>
        <i x="3" s="1"/>
        <i x="4"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D9D93887-7DBD-4B0B-A209-3D7D809ABD4F}" cache="Slicer_Gender" caption="Gender" rowHeight="257175"/>
  <slicer name="Order Mode" xr10:uid="{6A10F25E-B53E-49DC-A377-61545EA541CB}" cache="Slicer_Order_Mode" caption="Order Mode"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353F8-923A-45DF-B516-A6645B3E3689}">
  <dimension ref="A1:W82"/>
  <sheetViews>
    <sheetView workbookViewId="0">
      <selection activeCell="O19" sqref="O19"/>
    </sheetView>
  </sheetViews>
  <sheetFormatPr defaultRowHeight="15" x14ac:dyDescent="0.25"/>
  <cols>
    <col min="1" max="1" width="20.85546875" bestFit="1" customWidth="1"/>
    <col min="2" max="2" width="16.85546875" bestFit="1" customWidth="1"/>
    <col min="3" max="3" width="5.28515625" bestFit="1" customWidth="1"/>
    <col min="4" max="4" width="6.140625" bestFit="1" customWidth="1"/>
    <col min="5" max="5" width="9.28515625" bestFit="1" customWidth="1"/>
    <col min="6" max="6" width="11.28515625" bestFit="1" customWidth="1"/>
    <col min="7" max="7" width="7.28515625" bestFit="1" customWidth="1"/>
    <col min="8" max="8" width="13.42578125" bestFit="1" customWidth="1"/>
    <col min="9" max="9" width="15.5703125" bestFit="1" customWidth="1"/>
    <col min="10" max="10" width="11.28515625" bestFit="1" customWidth="1"/>
    <col min="11" max="11" width="6.140625" bestFit="1" customWidth="1"/>
    <col min="12" max="12" width="13.42578125" bestFit="1" customWidth="1"/>
    <col min="13" max="13" width="22" bestFit="1" customWidth="1"/>
    <col min="14" max="14" width="12" bestFit="1" customWidth="1"/>
    <col min="15" max="16" width="12.85546875" bestFit="1" customWidth="1"/>
    <col min="17" max="17" width="23.5703125" bestFit="1" customWidth="1"/>
    <col min="18" max="2399" width="16.85546875" bestFit="1" customWidth="1"/>
    <col min="2400" max="2400" width="11.28515625" bestFit="1" customWidth="1"/>
  </cols>
  <sheetData>
    <row r="1" spans="1:13" x14ac:dyDescent="0.25">
      <c r="A1" t="s">
        <v>3</v>
      </c>
      <c r="B1" t="s">
        <v>5</v>
      </c>
      <c r="C1" t="s">
        <v>7</v>
      </c>
      <c r="D1" t="s">
        <v>8</v>
      </c>
      <c r="E1" t="s">
        <v>9</v>
      </c>
      <c r="G1" t="s">
        <v>10</v>
      </c>
    </row>
    <row r="2" spans="1:13" x14ac:dyDescent="0.25">
      <c r="A2" s="4">
        <v>2400</v>
      </c>
      <c r="B2" s="4">
        <v>11997</v>
      </c>
      <c r="C2" s="5">
        <v>649019.80000000144</v>
      </c>
      <c r="D2" s="3">
        <v>3.9620833333333332</v>
      </c>
      <c r="E2" s="3">
        <v>2.3424999999999998</v>
      </c>
      <c r="G2" t="s">
        <v>11</v>
      </c>
      <c r="H2" t="s">
        <v>12</v>
      </c>
      <c r="I2" t="s">
        <v>13</v>
      </c>
      <c r="J2" t="s">
        <v>15</v>
      </c>
      <c r="K2" t="s">
        <v>14</v>
      </c>
    </row>
    <row r="3" spans="1:13" x14ac:dyDescent="0.25">
      <c r="G3" s="4">
        <f>A2</f>
        <v>2400</v>
      </c>
      <c r="H3" s="4">
        <f>B2</f>
        <v>11997</v>
      </c>
      <c r="I3" s="8">
        <f>C2</f>
        <v>649019.80000000144</v>
      </c>
      <c r="J3" s="6">
        <f>D2</f>
        <v>3.9620833333333332</v>
      </c>
      <c r="K3" s="6">
        <f>E2</f>
        <v>2.3424999999999998</v>
      </c>
    </row>
    <row r="4" spans="1:13" x14ac:dyDescent="0.25">
      <c r="G4" s="4"/>
      <c r="H4" s="4"/>
      <c r="I4" s="7"/>
      <c r="J4" s="6"/>
      <c r="K4" s="6"/>
    </row>
    <row r="6" spans="1:13" x14ac:dyDescent="0.25">
      <c r="A6" t="s">
        <v>16</v>
      </c>
      <c r="E6" t="s">
        <v>107</v>
      </c>
      <c r="L6" t="s">
        <v>108</v>
      </c>
    </row>
    <row r="7" spans="1:13" x14ac:dyDescent="0.25">
      <c r="A7" s="1" t="s">
        <v>0</v>
      </c>
      <c r="B7" t="s">
        <v>5</v>
      </c>
      <c r="C7" t="s">
        <v>7</v>
      </c>
      <c r="E7" s="1" t="s">
        <v>6</v>
      </c>
      <c r="F7" s="1" t="s">
        <v>2</v>
      </c>
      <c r="L7" s="1" t="s">
        <v>0</v>
      </c>
      <c r="M7" t="s">
        <v>3</v>
      </c>
    </row>
    <row r="8" spans="1:13" x14ac:dyDescent="0.25">
      <c r="A8" s="2">
        <v>1</v>
      </c>
      <c r="B8" s="4">
        <v>546</v>
      </c>
      <c r="C8" s="5">
        <v>32413.300000000003</v>
      </c>
      <c r="E8" s="1" t="s">
        <v>0</v>
      </c>
      <c r="F8" t="s">
        <v>28</v>
      </c>
      <c r="G8" t="s">
        <v>25</v>
      </c>
      <c r="H8" t="s">
        <v>59</v>
      </c>
      <c r="I8" t="s">
        <v>20</v>
      </c>
      <c r="J8" t="s">
        <v>1</v>
      </c>
      <c r="L8" s="2">
        <v>1</v>
      </c>
      <c r="M8" s="4">
        <v>397</v>
      </c>
    </row>
    <row r="9" spans="1:13" x14ac:dyDescent="0.25">
      <c r="A9" s="2">
        <v>2</v>
      </c>
      <c r="B9" s="4">
        <v>905</v>
      </c>
      <c r="C9" s="5">
        <v>49562.999999999993</v>
      </c>
      <c r="E9" s="2" t="s">
        <v>21</v>
      </c>
      <c r="F9" s="10">
        <v>0.18961825201634841</v>
      </c>
      <c r="G9" s="10">
        <v>0.12262322351336576</v>
      </c>
      <c r="H9" s="10">
        <v>1.060537752469185E-2</v>
      </c>
      <c r="I9" s="10">
        <v>3.0599220547662797E-2</v>
      </c>
      <c r="J9" s="10">
        <v>0.35344607360206881</v>
      </c>
      <c r="L9" s="2">
        <v>2</v>
      </c>
      <c r="M9" s="4">
        <v>540</v>
      </c>
    </row>
    <row r="10" spans="1:13" x14ac:dyDescent="0.25">
      <c r="A10" s="2">
        <v>3</v>
      </c>
      <c r="B10" s="4">
        <v>796</v>
      </c>
      <c r="C10" s="5">
        <v>41700.400000000016</v>
      </c>
      <c r="E10" s="2" t="s">
        <v>41</v>
      </c>
      <c r="F10" s="10">
        <v>5.0283982091147303E-2</v>
      </c>
      <c r="G10" s="10">
        <v>4.3060781812819873E-2</v>
      </c>
      <c r="H10" s="10">
        <v>1.5320025675641944E-3</v>
      </c>
      <c r="I10" s="10">
        <v>1.7794988689097006E-2</v>
      </c>
      <c r="J10" s="10">
        <v>0.11267175516062837</v>
      </c>
      <c r="L10" s="2">
        <v>3</v>
      </c>
      <c r="M10" s="4">
        <v>375</v>
      </c>
    </row>
    <row r="11" spans="1:13" x14ac:dyDescent="0.25">
      <c r="A11" s="2">
        <v>4</v>
      </c>
      <c r="B11" s="4">
        <v>913</v>
      </c>
      <c r="C11" s="5">
        <v>46782.599999999984</v>
      </c>
      <c r="E11" s="2" t="s">
        <v>49</v>
      </c>
      <c r="F11" s="10">
        <v>6.3496059750411282E-2</v>
      </c>
      <c r="G11" s="10">
        <v>4.6071629863988765E-2</v>
      </c>
      <c r="H11" s="10">
        <v>2.306247051322625E-3</v>
      </c>
      <c r="I11" s="10">
        <v>3.8927934093844286E-3</v>
      </c>
      <c r="J11" s="10">
        <v>0.11576673007510711</v>
      </c>
      <c r="L11" s="2">
        <v>4</v>
      </c>
      <c r="M11" s="4">
        <v>246</v>
      </c>
    </row>
    <row r="12" spans="1:13" x14ac:dyDescent="0.25">
      <c r="A12" s="2">
        <v>5</v>
      </c>
      <c r="B12" s="4">
        <v>844</v>
      </c>
      <c r="C12" s="5">
        <v>42676.100000000006</v>
      </c>
      <c r="E12" s="2" t="s">
        <v>36</v>
      </c>
      <c r="F12" s="10">
        <v>9.6337892927149532E-2</v>
      </c>
      <c r="G12" s="10">
        <v>6.7920115842382611E-2</v>
      </c>
      <c r="H12" s="10">
        <v>5.4979832664581261E-3</v>
      </c>
      <c r="I12" s="10">
        <v>1.2933041488102518E-2</v>
      </c>
      <c r="J12" s="10">
        <v>0.1826890335240928</v>
      </c>
      <c r="L12" s="2">
        <v>5</v>
      </c>
      <c r="M12" s="4">
        <v>195</v>
      </c>
    </row>
    <row r="13" spans="1:13" x14ac:dyDescent="0.25">
      <c r="A13" s="2">
        <v>6</v>
      </c>
      <c r="B13" s="4">
        <v>1202</v>
      </c>
      <c r="C13" s="5">
        <v>62910.7</v>
      </c>
      <c r="E13" s="2" t="s">
        <v>33</v>
      </c>
      <c r="F13" s="10">
        <v>0.12522098709469262</v>
      </c>
      <c r="G13" s="10">
        <v>9.1492740283116228E-2</v>
      </c>
      <c r="H13" s="10">
        <v>6.3042760790965081E-3</v>
      </c>
      <c r="I13" s="10">
        <v>1.2408404181197551E-2</v>
      </c>
      <c r="J13" s="10">
        <v>0.23542640763810288</v>
      </c>
      <c r="L13" s="2" t="s">
        <v>109</v>
      </c>
      <c r="M13" s="4">
        <v>414</v>
      </c>
    </row>
    <row r="14" spans="1:13" x14ac:dyDescent="0.25">
      <c r="A14" s="2">
        <v>7</v>
      </c>
      <c r="B14" s="4">
        <v>935</v>
      </c>
      <c r="C14" s="5">
        <v>50332.200000000004</v>
      </c>
      <c r="E14" s="2" t="s">
        <v>1</v>
      </c>
      <c r="F14" s="10">
        <v>0.52495717387974916</v>
      </c>
      <c r="G14" s="10">
        <v>0.3711684913156732</v>
      </c>
      <c r="H14" s="10">
        <v>2.6245886489133303E-2</v>
      </c>
      <c r="I14" s="10">
        <v>7.7628448315444312E-2</v>
      </c>
      <c r="J14" s="10">
        <v>1</v>
      </c>
      <c r="L14" s="2" t="s">
        <v>110</v>
      </c>
      <c r="M14" s="4">
        <v>233</v>
      </c>
    </row>
    <row r="15" spans="1:13" x14ac:dyDescent="0.25">
      <c r="A15" s="2">
        <v>8</v>
      </c>
      <c r="B15" s="4">
        <v>1128</v>
      </c>
      <c r="C15" s="5">
        <v>58760.599999999977</v>
      </c>
      <c r="L15" s="2" t="s">
        <v>1</v>
      </c>
      <c r="M15" s="4">
        <v>2400</v>
      </c>
    </row>
    <row r="16" spans="1:13" x14ac:dyDescent="0.25">
      <c r="A16" s="2">
        <v>9</v>
      </c>
      <c r="B16" s="4">
        <v>1007</v>
      </c>
      <c r="C16" s="5">
        <v>52017.299999999996</v>
      </c>
      <c r="E16" s="11"/>
      <c r="F16" s="17" t="str">
        <f>F8</f>
        <v>Female</v>
      </c>
      <c r="G16" s="17" t="str">
        <f t="shared" ref="G16:I16" si="0">G8</f>
        <v>Male</v>
      </c>
      <c r="H16" s="17" t="str">
        <f t="shared" si="0"/>
        <v>Other</v>
      </c>
      <c r="I16" s="18" t="str">
        <f t="shared" si="0"/>
        <v>Unknown</v>
      </c>
    </row>
    <row r="17" spans="1:23" x14ac:dyDescent="0.25">
      <c r="A17" s="2">
        <v>10</v>
      </c>
      <c r="B17" s="4">
        <v>1128</v>
      </c>
      <c r="C17" s="5">
        <v>64915.700000000033</v>
      </c>
      <c r="E17" s="15" t="str">
        <f>E9</f>
        <v>App</v>
      </c>
      <c r="F17" s="10">
        <f t="shared" ref="F17:I17" si="1">F9</f>
        <v>0.18961825201634841</v>
      </c>
      <c r="G17" s="10">
        <f t="shared" si="1"/>
        <v>0.12262322351336576</v>
      </c>
      <c r="H17" s="10">
        <f t="shared" si="1"/>
        <v>1.060537752469185E-2</v>
      </c>
      <c r="I17" s="12">
        <f t="shared" si="1"/>
        <v>3.0599220547662797E-2</v>
      </c>
    </row>
    <row r="18" spans="1:23" x14ac:dyDescent="0.25">
      <c r="A18" s="2">
        <v>11</v>
      </c>
      <c r="B18" s="4">
        <v>861</v>
      </c>
      <c r="C18" s="5">
        <v>45943.80000000001</v>
      </c>
      <c r="E18" s="15" t="str">
        <f t="shared" ref="E18:I18" si="2">E10</f>
        <v>Instagram</v>
      </c>
      <c r="F18" s="10">
        <f t="shared" si="2"/>
        <v>5.0283982091147303E-2</v>
      </c>
      <c r="G18" s="10">
        <f t="shared" si="2"/>
        <v>4.3060781812819873E-2</v>
      </c>
      <c r="H18" s="10">
        <f t="shared" si="2"/>
        <v>1.5320025675641944E-3</v>
      </c>
      <c r="I18" s="12">
        <f t="shared" si="2"/>
        <v>1.7794988689097006E-2</v>
      </c>
    </row>
    <row r="19" spans="1:23" x14ac:dyDescent="0.25">
      <c r="A19" s="2">
        <v>12</v>
      </c>
      <c r="B19" s="4">
        <v>944</v>
      </c>
      <c r="C19" s="5">
        <v>55077.900000000031</v>
      </c>
      <c r="E19" s="15" t="str">
        <f t="shared" ref="E19:I19" si="3">E11</f>
        <v>Partner App</v>
      </c>
      <c r="F19" s="10">
        <f t="shared" si="3"/>
        <v>6.3496059750411282E-2</v>
      </c>
      <c r="G19" s="10">
        <f t="shared" si="3"/>
        <v>4.6071629863988765E-2</v>
      </c>
      <c r="H19" s="10">
        <f t="shared" si="3"/>
        <v>2.306247051322625E-3</v>
      </c>
      <c r="I19" s="12">
        <f t="shared" si="3"/>
        <v>3.8927934093844286E-3</v>
      </c>
    </row>
    <row r="20" spans="1:23" x14ac:dyDescent="0.25">
      <c r="A20" s="2">
        <v>13</v>
      </c>
      <c r="B20" s="4">
        <v>788</v>
      </c>
      <c r="C20" s="5">
        <v>45926.19999999999</v>
      </c>
      <c r="E20" s="15" t="str">
        <f t="shared" ref="E20:I20" si="4">E12</f>
        <v>Target.com</v>
      </c>
      <c r="F20" s="10">
        <f t="shared" si="4"/>
        <v>9.6337892927149532E-2</v>
      </c>
      <c r="G20" s="10">
        <f t="shared" si="4"/>
        <v>6.7920115842382611E-2</v>
      </c>
      <c r="H20" s="10">
        <f t="shared" si="4"/>
        <v>5.4979832664581261E-3</v>
      </c>
      <c r="I20" s="12">
        <f t="shared" si="4"/>
        <v>1.2933041488102518E-2</v>
      </c>
    </row>
    <row r="21" spans="1:23" x14ac:dyDescent="0.25">
      <c r="A21" s="2" t="s">
        <v>1</v>
      </c>
      <c r="B21" s="4">
        <v>11997</v>
      </c>
      <c r="C21" s="5">
        <v>649019.79999999993</v>
      </c>
      <c r="E21" s="16" t="str">
        <f t="shared" ref="E21:I21" si="5">E13</f>
        <v>Website</v>
      </c>
      <c r="F21" s="13">
        <f>F13</f>
        <v>0.12522098709469262</v>
      </c>
      <c r="G21" s="13">
        <f t="shared" si="5"/>
        <v>9.1492740283116228E-2</v>
      </c>
      <c r="H21" s="13">
        <f t="shared" si="5"/>
        <v>6.3042760790965081E-3</v>
      </c>
      <c r="I21" s="14">
        <f t="shared" si="5"/>
        <v>1.2408404181197551E-2</v>
      </c>
    </row>
    <row r="23" spans="1:23" x14ac:dyDescent="0.25">
      <c r="A23" t="s">
        <v>111</v>
      </c>
      <c r="H23" t="s">
        <v>112</v>
      </c>
      <c r="L23" t="s">
        <v>113</v>
      </c>
    </row>
    <row r="24" spans="1:23" x14ac:dyDescent="0.25">
      <c r="A24" s="1" t="s">
        <v>4</v>
      </c>
      <c r="B24" s="1" t="s">
        <v>2</v>
      </c>
      <c r="H24" s="1" t="s">
        <v>0</v>
      </c>
      <c r="I24" t="s">
        <v>4</v>
      </c>
      <c r="L24" s="1" t="s">
        <v>17</v>
      </c>
      <c r="M24" s="1" t="s">
        <v>18</v>
      </c>
      <c r="N24" t="s">
        <v>3</v>
      </c>
      <c r="O24" t="s">
        <v>7</v>
      </c>
      <c r="Q24" s="9" t="str">
        <f>L24</f>
        <v>State</v>
      </c>
      <c r="R24" s="9" t="str">
        <f t="shared" ref="R24:S24" si="6">M24</f>
        <v>County</v>
      </c>
      <c r="S24" s="9" t="str">
        <f t="shared" si="6"/>
        <v>Total Orders</v>
      </c>
      <c r="U24" s="9" t="str">
        <f>L24</f>
        <v>State</v>
      </c>
      <c r="V24" s="9" t="str">
        <f>M24</f>
        <v>County</v>
      </c>
      <c r="W24" s="9" t="str">
        <f>O24</f>
        <v>Total Amount</v>
      </c>
    </row>
    <row r="25" spans="1:23" x14ac:dyDescent="0.25">
      <c r="A25" s="1" t="s">
        <v>0</v>
      </c>
      <c r="B25" t="s">
        <v>28</v>
      </c>
      <c r="C25" t="s">
        <v>25</v>
      </c>
      <c r="D25" t="s">
        <v>59</v>
      </c>
      <c r="E25" t="s">
        <v>20</v>
      </c>
      <c r="F25" t="s">
        <v>1</v>
      </c>
      <c r="H25" s="2" t="s">
        <v>28</v>
      </c>
      <c r="I25" s="19">
        <v>6272</v>
      </c>
      <c r="L25" t="s">
        <v>22</v>
      </c>
      <c r="M25" t="s">
        <v>32</v>
      </c>
      <c r="N25" s="4">
        <v>781</v>
      </c>
      <c r="O25" s="5">
        <v>215551.19999999981</v>
      </c>
      <c r="Q25" s="9" t="str">
        <f>IF(L25="","",L25)</f>
        <v>California</v>
      </c>
      <c r="R25" s="9" t="str">
        <f>IF(M25="","",M25)</f>
        <v>Los Angeles County</v>
      </c>
      <c r="S25" s="9">
        <f>IF(N25="","",N25)</f>
        <v>781</v>
      </c>
      <c r="U25" t="str">
        <f>IF(L25="","",L25)</f>
        <v>California</v>
      </c>
      <c r="V25" t="str">
        <f>IF(M25="","",M25)</f>
        <v>Los Angeles County</v>
      </c>
      <c r="W25">
        <f>IF(O25="","",O25)</f>
        <v>215551.19999999981</v>
      </c>
    </row>
    <row r="26" spans="1:23" x14ac:dyDescent="0.25">
      <c r="A26" s="2" t="s">
        <v>38</v>
      </c>
      <c r="B26" s="19">
        <v>744</v>
      </c>
      <c r="C26" s="19">
        <v>713</v>
      </c>
      <c r="D26" s="19">
        <v>90</v>
      </c>
      <c r="E26" s="19">
        <v>98</v>
      </c>
      <c r="F26" s="19">
        <v>1645</v>
      </c>
      <c r="H26" s="2" t="s">
        <v>25</v>
      </c>
      <c r="I26" s="19">
        <v>4672</v>
      </c>
      <c r="L26" t="s">
        <v>22</v>
      </c>
      <c r="M26" t="s">
        <v>46</v>
      </c>
      <c r="N26" s="4">
        <v>330</v>
      </c>
      <c r="O26" s="5">
        <v>98367.099999999977</v>
      </c>
      <c r="Q26" s="9" t="str">
        <f t="shared" ref="Q26:Q82" si="7">IF(L26="","",L26)</f>
        <v>California</v>
      </c>
      <c r="R26" s="9" t="str">
        <f t="shared" ref="R26:R82" si="8">IF(M26="","",M26)</f>
        <v>San Diego County</v>
      </c>
      <c r="S26" s="9">
        <f t="shared" ref="S26:S82" si="9">IF(N26="","",N26)</f>
        <v>330</v>
      </c>
      <c r="U26" t="str">
        <f t="shared" ref="U26:U82" si="10">IF(L26="","",L26)</f>
        <v>California</v>
      </c>
      <c r="V26" t="str">
        <f t="shared" ref="V26:V82" si="11">IF(M26="","",M26)</f>
        <v>San Diego County</v>
      </c>
      <c r="W26">
        <f t="shared" ref="W26:W82" si="12">IF(O26="","",O26)</f>
        <v>98367.099999999977</v>
      </c>
    </row>
    <row r="27" spans="1:23" x14ac:dyDescent="0.25">
      <c r="A27" s="2" t="s">
        <v>35</v>
      </c>
      <c r="B27" s="19">
        <v>716</v>
      </c>
      <c r="C27" s="19">
        <v>598</v>
      </c>
      <c r="D27" s="19">
        <v>18</v>
      </c>
      <c r="E27" s="19">
        <v>214</v>
      </c>
      <c r="F27" s="19">
        <v>1546</v>
      </c>
      <c r="H27" s="2" t="s">
        <v>59</v>
      </c>
      <c r="I27" s="19">
        <v>317</v>
      </c>
      <c r="L27" t="s">
        <v>22</v>
      </c>
      <c r="M27" t="s">
        <v>44</v>
      </c>
      <c r="N27" s="4">
        <v>162</v>
      </c>
      <c r="O27" s="5">
        <v>37784.900000000016</v>
      </c>
      <c r="Q27" s="9" t="str">
        <f t="shared" si="7"/>
        <v>California</v>
      </c>
      <c r="R27" s="9" t="str">
        <f t="shared" si="8"/>
        <v>Sacramento County</v>
      </c>
      <c r="S27" s="9">
        <f t="shared" si="9"/>
        <v>162</v>
      </c>
      <c r="U27" t="str">
        <f t="shared" si="10"/>
        <v>California</v>
      </c>
      <c r="V27" t="str">
        <f t="shared" si="11"/>
        <v>Sacramento County</v>
      </c>
      <c r="W27">
        <f t="shared" si="12"/>
        <v>37784.900000000016</v>
      </c>
    </row>
    <row r="28" spans="1:23" x14ac:dyDescent="0.25">
      <c r="A28" s="2" t="s">
        <v>27</v>
      </c>
      <c r="B28" s="19">
        <v>627</v>
      </c>
      <c r="C28" s="19">
        <v>393</v>
      </c>
      <c r="D28" s="19">
        <v>29</v>
      </c>
      <c r="E28" s="19">
        <v>137</v>
      </c>
      <c r="F28" s="19">
        <v>1186</v>
      </c>
      <c r="H28" s="2" t="s">
        <v>20</v>
      </c>
      <c r="I28" s="19">
        <v>736</v>
      </c>
      <c r="L28" t="s">
        <v>22</v>
      </c>
      <c r="M28" t="s">
        <v>53</v>
      </c>
      <c r="N28" s="4">
        <v>135</v>
      </c>
      <c r="O28" s="5">
        <v>37449.000000000007</v>
      </c>
      <c r="Q28" s="9" t="str">
        <f t="shared" si="7"/>
        <v>California</v>
      </c>
      <c r="R28" s="9" t="str">
        <f t="shared" si="8"/>
        <v>Santa Clara County</v>
      </c>
      <c r="S28" s="9">
        <f t="shared" si="9"/>
        <v>135</v>
      </c>
      <c r="U28" t="str">
        <f t="shared" si="10"/>
        <v>California</v>
      </c>
      <c r="V28" t="str">
        <f t="shared" si="11"/>
        <v>Santa Clara County</v>
      </c>
      <c r="W28">
        <f t="shared" si="12"/>
        <v>37449.000000000007</v>
      </c>
    </row>
    <row r="29" spans="1:23" x14ac:dyDescent="0.25">
      <c r="A29" s="2" t="s">
        <v>24</v>
      </c>
      <c r="B29" s="19">
        <v>568</v>
      </c>
      <c r="C29" s="19">
        <v>306</v>
      </c>
      <c r="D29" s="19">
        <v>22</v>
      </c>
      <c r="E29" s="19">
        <v>16</v>
      </c>
      <c r="F29" s="19">
        <v>912</v>
      </c>
      <c r="H29" s="2" t="s">
        <v>1</v>
      </c>
      <c r="I29" s="19">
        <v>11997</v>
      </c>
      <c r="L29" t="s">
        <v>22</v>
      </c>
      <c r="M29" t="s">
        <v>65</v>
      </c>
      <c r="N29" s="4">
        <v>132</v>
      </c>
      <c r="O29" s="5">
        <v>31884.999999999996</v>
      </c>
      <c r="Q29" s="9" t="str">
        <f t="shared" si="7"/>
        <v>California</v>
      </c>
      <c r="R29" s="9" t="str">
        <f t="shared" si="8"/>
        <v>Alameda County</v>
      </c>
      <c r="S29" s="9">
        <f t="shared" si="9"/>
        <v>132</v>
      </c>
      <c r="U29" t="str">
        <f t="shared" si="10"/>
        <v>California</v>
      </c>
      <c r="V29" t="str">
        <f t="shared" si="11"/>
        <v>Alameda County</v>
      </c>
      <c r="W29">
        <f t="shared" si="12"/>
        <v>31884.999999999996</v>
      </c>
    </row>
    <row r="30" spans="1:23" x14ac:dyDescent="0.25">
      <c r="A30" s="2" t="s">
        <v>43</v>
      </c>
      <c r="B30" s="19">
        <v>482</v>
      </c>
      <c r="C30" s="19">
        <v>295</v>
      </c>
      <c r="D30" s="19">
        <v>8</v>
      </c>
      <c r="E30" s="19">
        <v>22</v>
      </c>
      <c r="F30" s="19">
        <v>807</v>
      </c>
      <c r="L30" t="s">
        <v>22</v>
      </c>
      <c r="M30" t="s">
        <v>26</v>
      </c>
      <c r="N30" s="4">
        <v>83</v>
      </c>
      <c r="O30" s="5">
        <v>16168.7</v>
      </c>
      <c r="Q30" s="9" t="str">
        <f t="shared" si="7"/>
        <v>California</v>
      </c>
      <c r="R30" s="9" t="str">
        <f t="shared" si="8"/>
        <v>Contra Costa County</v>
      </c>
      <c r="S30" s="9">
        <f t="shared" si="9"/>
        <v>83</v>
      </c>
      <c r="U30" t="str">
        <f t="shared" si="10"/>
        <v>California</v>
      </c>
      <c r="V30" t="str">
        <f t="shared" si="11"/>
        <v>Contra Costa County</v>
      </c>
      <c r="W30">
        <f t="shared" si="12"/>
        <v>16168.7</v>
      </c>
    </row>
    <row r="31" spans="1:23" x14ac:dyDescent="0.25">
      <c r="A31" s="2" t="s">
        <v>19</v>
      </c>
      <c r="B31" s="19">
        <v>428</v>
      </c>
      <c r="C31" s="19">
        <v>293</v>
      </c>
      <c r="D31" s="19"/>
      <c r="E31" s="19">
        <v>24</v>
      </c>
      <c r="F31" s="19">
        <v>745</v>
      </c>
      <c r="L31" t="s">
        <v>22</v>
      </c>
      <c r="M31" t="s">
        <v>50</v>
      </c>
      <c r="N31" s="4">
        <v>67</v>
      </c>
      <c r="O31" s="5">
        <v>16172.000000000005</v>
      </c>
      <c r="Q31" s="9" t="str">
        <f t="shared" si="7"/>
        <v>California</v>
      </c>
      <c r="R31" s="9" t="str">
        <f t="shared" si="8"/>
        <v>San Mateo County</v>
      </c>
      <c r="S31" s="9">
        <f t="shared" si="9"/>
        <v>67</v>
      </c>
      <c r="U31" t="str">
        <f t="shared" si="10"/>
        <v>California</v>
      </c>
      <c r="V31" t="str">
        <f t="shared" si="11"/>
        <v>San Mateo County</v>
      </c>
      <c r="W31">
        <f t="shared" si="12"/>
        <v>16172.000000000005</v>
      </c>
    </row>
    <row r="32" spans="1:23" x14ac:dyDescent="0.25">
      <c r="A32" s="2" t="s">
        <v>39</v>
      </c>
      <c r="B32" s="19">
        <v>445</v>
      </c>
      <c r="C32" s="19">
        <v>202</v>
      </c>
      <c r="D32" s="19">
        <v>14</v>
      </c>
      <c r="E32" s="19">
        <v>39</v>
      </c>
      <c r="F32" s="19">
        <v>700</v>
      </c>
      <c r="L32" t="s">
        <v>22</v>
      </c>
      <c r="M32" t="s">
        <v>45</v>
      </c>
      <c r="N32" s="4">
        <v>67</v>
      </c>
      <c r="O32" s="5">
        <v>20988.9</v>
      </c>
      <c r="Q32" s="9" t="str">
        <f t="shared" si="7"/>
        <v>California</v>
      </c>
      <c r="R32" s="9" t="str">
        <f t="shared" si="8"/>
        <v>San Bernardino County</v>
      </c>
      <c r="S32" s="9">
        <f t="shared" si="9"/>
        <v>67</v>
      </c>
      <c r="U32" t="str">
        <f t="shared" si="10"/>
        <v>California</v>
      </c>
      <c r="V32" t="str">
        <f t="shared" si="11"/>
        <v>San Bernardino County</v>
      </c>
      <c r="W32">
        <f t="shared" si="12"/>
        <v>20988.9</v>
      </c>
    </row>
    <row r="33" spans="1:23" x14ac:dyDescent="0.25">
      <c r="A33" s="2" t="s">
        <v>31</v>
      </c>
      <c r="B33" s="19">
        <v>431</v>
      </c>
      <c r="C33" s="19">
        <v>187</v>
      </c>
      <c r="D33" s="19">
        <v>14</v>
      </c>
      <c r="E33" s="19">
        <v>15</v>
      </c>
      <c r="F33" s="19">
        <v>647</v>
      </c>
      <c r="L33" t="s">
        <v>22</v>
      </c>
      <c r="M33" t="s">
        <v>61</v>
      </c>
      <c r="N33" s="4">
        <v>58</v>
      </c>
      <c r="O33" s="5">
        <v>21911.9</v>
      </c>
      <c r="Q33" s="9" t="str">
        <f t="shared" si="7"/>
        <v>California</v>
      </c>
      <c r="R33" s="9" t="str">
        <f t="shared" si="8"/>
        <v>San Francisco</v>
      </c>
      <c r="S33" s="9">
        <f t="shared" si="9"/>
        <v>58</v>
      </c>
      <c r="U33" t="str">
        <f t="shared" si="10"/>
        <v>California</v>
      </c>
      <c r="V33" t="str">
        <f t="shared" si="11"/>
        <v>San Francisco</v>
      </c>
      <c r="W33">
        <f t="shared" si="12"/>
        <v>21911.9</v>
      </c>
    </row>
    <row r="34" spans="1:23" x14ac:dyDescent="0.25">
      <c r="A34" s="2" t="s">
        <v>37</v>
      </c>
      <c r="B34" s="19">
        <v>264</v>
      </c>
      <c r="C34" s="19">
        <v>318</v>
      </c>
      <c r="D34" s="19">
        <v>15</v>
      </c>
      <c r="E34" s="19">
        <v>9</v>
      </c>
      <c r="F34" s="19">
        <v>606</v>
      </c>
      <c r="L34" t="s">
        <v>22</v>
      </c>
      <c r="M34" t="s">
        <v>70</v>
      </c>
      <c r="N34" s="4">
        <v>56</v>
      </c>
      <c r="O34" s="5">
        <v>11354.199999999993</v>
      </c>
      <c r="Q34" s="9" t="str">
        <f t="shared" si="7"/>
        <v>California</v>
      </c>
      <c r="R34" s="9" t="str">
        <f t="shared" si="8"/>
        <v>Kern County</v>
      </c>
      <c r="S34" s="9">
        <f t="shared" si="9"/>
        <v>56</v>
      </c>
      <c r="U34" t="str">
        <f t="shared" si="10"/>
        <v>California</v>
      </c>
      <c r="V34" t="str">
        <f t="shared" si="11"/>
        <v>Kern County</v>
      </c>
      <c r="W34">
        <f t="shared" si="12"/>
        <v>11354.199999999993</v>
      </c>
    </row>
    <row r="35" spans="1:23" x14ac:dyDescent="0.25">
      <c r="A35" s="2" t="s">
        <v>34</v>
      </c>
      <c r="B35" s="19">
        <v>296</v>
      </c>
      <c r="C35" s="19">
        <v>275</v>
      </c>
      <c r="D35" s="19">
        <v>9</v>
      </c>
      <c r="E35" s="19">
        <v>23</v>
      </c>
      <c r="F35" s="19">
        <v>603</v>
      </c>
      <c r="L35" t="s">
        <v>22</v>
      </c>
      <c r="M35" t="s">
        <v>29</v>
      </c>
      <c r="N35" s="4">
        <v>52</v>
      </c>
      <c r="O35" s="5">
        <v>12662.500000000002</v>
      </c>
      <c r="Q35" s="9" t="str">
        <f t="shared" si="7"/>
        <v>California</v>
      </c>
      <c r="R35" s="9" t="str">
        <f t="shared" si="8"/>
        <v>Fresno County</v>
      </c>
      <c r="S35" s="9">
        <f t="shared" si="9"/>
        <v>52</v>
      </c>
      <c r="U35" t="str">
        <f t="shared" si="10"/>
        <v>California</v>
      </c>
      <c r="V35" t="str">
        <f t="shared" si="11"/>
        <v>Fresno County</v>
      </c>
      <c r="W35">
        <f t="shared" si="12"/>
        <v>12662.500000000002</v>
      </c>
    </row>
    <row r="36" spans="1:23" x14ac:dyDescent="0.25">
      <c r="A36" s="2" t="s">
        <v>66</v>
      </c>
      <c r="B36" s="19">
        <v>153</v>
      </c>
      <c r="C36" s="19">
        <v>246</v>
      </c>
      <c r="D36" s="19">
        <v>30</v>
      </c>
      <c r="E36" s="19">
        <v>8</v>
      </c>
      <c r="F36" s="19">
        <v>437</v>
      </c>
      <c r="L36" t="s">
        <v>22</v>
      </c>
      <c r="M36" t="s">
        <v>63</v>
      </c>
      <c r="N36" s="4">
        <v>51</v>
      </c>
      <c r="O36" s="5">
        <v>10185.899999999996</v>
      </c>
      <c r="Q36" s="9" t="str">
        <f t="shared" si="7"/>
        <v>California</v>
      </c>
      <c r="R36" s="9" t="str">
        <f t="shared" si="8"/>
        <v>Stanislaus County</v>
      </c>
      <c r="S36" s="9">
        <f t="shared" si="9"/>
        <v>51</v>
      </c>
      <c r="U36" t="str">
        <f t="shared" si="10"/>
        <v>California</v>
      </c>
      <c r="V36" t="str">
        <f t="shared" si="11"/>
        <v>Stanislaus County</v>
      </c>
      <c r="W36">
        <f t="shared" si="12"/>
        <v>10185.899999999996</v>
      </c>
    </row>
    <row r="37" spans="1:23" x14ac:dyDescent="0.25">
      <c r="A37" s="2" t="s">
        <v>69</v>
      </c>
      <c r="B37" s="19">
        <v>189</v>
      </c>
      <c r="C37" s="19">
        <v>168</v>
      </c>
      <c r="D37" s="19">
        <v>10</v>
      </c>
      <c r="E37" s="19">
        <v>31</v>
      </c>
      <c r="F37" s="19">
        <v>398</v>
      </c>
      <c r="L37" t="s">
        <v>22</v>
      </c>
      <c r="M37" t="s">
        <v>62</v>
      </c>
      <c r="N37" s="4">
        <v>44</v>
      </c>
      <c r="O37" s="5">
        <v>20939.600000000002</v>
      </c>
      <c r="Q37" s="9" t="str">
        <f t="shared" si="7"/>
        <v>California</v>
      </c>
      <c r="R37" s="9" t="str">
        <f t="shared" si="8"/>
        <v>Sonoma County</v>
      </c>
      <c r="S37" s="9">
        <f t="shared" si="9"/>
        <v>44</v>
      </c>
      <c r="U37" t="str">
        <f t="shared" si="10"/>
        <v>California</v>
      </c>
      <c r="V37" t="str">
        <f t="shared" si="11"/>
        <v>Sonoma County</v>
      </c>
      <c r="W37">
        <f t="shared" si="12"/>
        <v>20939.600000000002</v>
      </c>
    </row>
    <row r="38" spans="1:23" x14ac:dyDescent="0.25">
      <c r="A38" s="2" t="s">
        <v>48</v>
      </c>
      <c r="B38" s="19">
        <v>234</v>
      </c>
      <c r="C38" s="19">
        <v>93</v>
      </c>
      <c r="D38" s="19">
        <v>19</v>
      </c>
      <c r="E38" s="19">
        <v>24</v>
      </c>
      <c r="F38" s="19">
        <v>370</v>
      </c>
      <c r="L38" t="s">
        <v>22</v>
      </c>
      <c r="M38" t="s">
        <v>56</v>
      </c>
      <c r="N38" s="4">
        <v>42</v>
      </c>
      <c r="O38" s="5">
        <v>9869.0999999999985</v>
      </c>
      <c r="Q38" s="9" t="str">
        <f t="shared" si="7"/>
        <v>California</v>
      </c>
      <c r="R38" s="9" t="str">
        <f t="shared" si="8"/>
        <v>Ventura County</v>
      </c>
      <c r="S38" s="9">
        <f t="shared" si="9"/>
        <v>42</v>
      </c>
      <c r="U38" t="str">
        <f t="shared" si="10"/>
        <v>California</v>
      </c>
      <c r="V38" t="str">
        <f t="shared" si="11"/>
        <v>Ventura County</v>
      </c>
      <c r="W38">
        <f t="shared" si="12"/>
        <v>9869.0999999999985</v>
      </c>
    </row>
    <row r="39" spans="1:23" x14ac:dyDescent="0.25">
      <c r="A39" s="2" t="s">
        <v>30</v>
      </c>
      <c r="B39" s="19">
        <v>146</v>
      </c>
      <c r="C39" s="19">
        <v>94</v>
      </c>
      <c r="D39" s="19">
        <v>4</v>
      </c>
      <c r="E39" s="19">
        <v>28</v>
      </c>
      <c r="F39" s="19">
        <v>272</v>
      </c>
      <c r="L39" t="s">
        <v>22</v>
      </c>
      <c r="M39" t="s">
        <v>74</v>
      </c>
      <c r="N39" s="4">
        <v>32</v>
      </c>
      <c r="O39" s="5">
        <v>9680.399999999996</v>
      </c>
      <c r="Q39" s="9" t="str">
        <f t="shared" si="7"/>
        <v>California</v>
      </c>
      <c r="R39" s="9" t="str">
        <f t="shared" si="8"/>
        <v>Orange County</v>
      </c>
      <c r="S39" s="9">
        <f t="shared" si="9"/>
        <v>32</v>
      </c>
      <c r="U39" t="str">
        <f t="shared" si="10"/>
        <v>California</v>
      </c>
      <c r="V39" t="str">
        <f t="shared" si="11"/>
        <v>Orange County</v>
      </c>
      <c r="W39">
        <f t="shared" si="12"/>
        <v>9680.399999999996</v>
      </c>
    </row>
    <row r="40" spans="1:23" x14ac:dyDescent="0.25">
      <c r="A40" s="2" t="s">
        <v>68</v>
      </c>
      <c r="B40" s="19">
        <v>127</v>
      </c>
      <c r="C40" s="19">
        <v>118</v>
      </c>
      <c r="D40" s="19">
        <v>13</v>
      </c>
      <c r="E40" s="19">
        <v>12</v>
      </c>
      <c r="F40" s="19">
        <v>270</v>
      </c>
      <c r="L40" t="s">
        <v>22</v>
      </c>
      <c r="M40" t="s">
        <v>51</v>
      </c>
      <c r="N40" s="4">
        <v>27</v>
      </c>
      <c r="O40" s="5">
        <v>4334.9999999999991</v>
      </c>
      <c r="Q40" s="9" t="str">
        <f t="shared" si="7"/>
        <v>California</v>
      </c>
      <c r="R40" s="9" t="str">
        <f t="shared" si="8"/>
        <v>Santa Barbara County</v>
      </c>
      <c r="S40" s="9">
        <f t="shared" si="9"/>
        <v>27</v>
      </c>
      <c r="U40" t="str">
        <f t="shared" si="10"/>
        <v>California</v>
      </c>
      <c r="V40" t="str">
        <f t="shared" si="11"/>
        <v>Santa Barbara County</v>
      </c>
      <c r="W40">
        <f t="shared" si="12"/>
        <v>4334.9999999999991</v>
      </c>
    </row>
    <row r="41" spans="1:23" x14ac:dyDescent="0.25">
      <c r="A41" s="2" t="s">
        <v>47</v>
      </c>
      <c r="B41" s="19">
        <v>179</v>
      </c>
      <c r="C41" s="19">
        <v>76</v>
      </c>
      <c r="D41" s="19">
        <v>3</v>
      </c>
      <c r="E41" s="19"/>
      <c r="F41" s="19">
        <v>258</v>
      </c>
      <c r="L41" t="s">
        <v>22</v>
      </c>
      <c r="M41" t="s">
        <v>71</v>
      </c>
      <c r="N41" s="4">
        <v>26</v>
      </c>
      <c r="O41" s="5">
        <v>7691.3</v>
      </c>
      <c r="Q41" s="9" t="str">
        <f t="shared" si="7"/>
        <v>California</v>
      </c>
      <c r="R41" s="9" t="str">
        <f t="shared" si="8"/>
        <v>Riverside County</v>
      </c>
      <c r="S41" s="9">
        <f t="shared" si="9"/>
        <v>26</v>
      </c>
      <c r="U41" t="str">
        <f t="shared" si="10"/>
        <v>California</v>
      </c>
      <c r="V41" t="str">
        <f t="shared" si="11"/>
        <v>Riverside County</v>
      </c>
      <c r="W41">
        <f t="shared" si="12"/>
        <v>7691.3</v>
      </c>
    </row>
    <row r="42" spans="1:23" x14ac:dyDescent="0.25">
      <c r="A42" s="2" t="s">
        <v>67</v>
      </c>
      <c r="B42" s="19">
        <v>99</v>
      </c>
      <c r="C42" s="19">
        <v>69</v>
      </c>
      <c r="D42" s="19">
        <v>3</v>
      </c>
      <c r="E42" s="19">
        <v>24</v>
      </c>
      <c r="F42" s="19">
        <v>195</v>
      </c>
      <c r="L42" t="s">
        <v>22</v>
      </c>
      <c r="M42" t="s">
        <v>64</v>
      </c>
      <c r="N42" s="4">
        <v>25</v>
      </c>
      <c r="O42" s="5">
        <v>3978.5</v>
      </c>
      <c r="Q42" s="9" t="str">
        <f t="shared" si="7"/>
        <v>California</v>
      </c>
      <c r="R42" s="9" t="str">
        <f t="shared" si="8"/>
        <v>Tulare County</v>
      </c>
      <c r="S42" s="9">
        <f t="shared" si="9"/>
        <v>25</v>
      </c>
      <c r="U42" t="str">
        <f t="shared" si="10"/>
        <v>California</v>
      </c>
      <c r="V42" t="str">
        <f t="shared" si="11"/>
        <v>Tulare County</v>
      </c>
      <c r="W42">
        <f t="shared" si="12"/>
        <v>3978.5</v>
      </c>
    </row>
    <row r="43" spans="1:23" x14ac:dyDescent="0.25">
      <c r="A43" s="2" t="s">
        <v>52</v>
      </c>
      <c r="B43" s="19">
        <v>75</v>
      </c>
      <c r="C43" s="19">
        <v>103</v>
      </c>
      <c r="D43" s="19">
        <v>4</v>
      </c>
      <c r="E43" s="19">
        <v>6</v>
      </c>
      <c r="F43" s="19">
        <v>188</v>
      </c>
      <c r="L43" t="s">
        <v>22</v>
      </c>
      <c r="M43" t="s">
        <v>42</v>
      </c>
      <c r="N43" s="4">
        <v>22</v>
      </c>
      <c r="O43" s="5">
        <v>9414.7999999999993</v>
      </c>
      <c r="Q43" s="9" t="str">
        <f t="shared" si="7"/>
        <v>California</v>
      </c>
      <c r="R43" s="9" t="str">
        <f t="shared" si="8"/>
        <v>Placer County</v>
      </c>
      <c r="S43" s="9">
        <f t="shared" si="9"/>
        <v>22</v>
      </c>
      <c r="U43" t="str">
        <f t="shared" si="10"/>
        <v>California</v>
      </c>
      <c r="V43" t="str">
        <f t="shared" si="11"/>
        <v>Placer County</v>
      </c>
      <c r="W43">
        <f t="shared" si="12"/>
        <v>9414.7999999999993</v>
      </c>
    </row>
    <row r="44" spans="1:23" x14ac:dyDescent="0.25">
      <c r="A44" s="2" t="s">
        <v>55</v>
      </c>
      <c r="B44" s="19">
        <v>43</v>
      </c>
      <c r="C44" s="19">
        <v>90</v>
      </c>
      <c r="D44" s="19">
        <v>8</v>
      </c>
      <c r="E44" s="19">
        <v>6</v>
      </c>
      <c r="F44" s="19">
        <v>147</v>
      </c>
      <c r="L44" t="s">
        <v>22</v>
      </c>
      <c r="M44" t="s">
        <v>75</v>
      </c>
      <c r="N44" s="4">
        <v>17</v>
      </c>
      <c r="O44" s="5">
        <v>5441.2</v>
      </c>
      <c r="Q44" s="9" t="str">
        <f t="shared" si="7"/>
        <v>California</v>
      </c>
      <c r="R44" s="9" t="str">
        <f t="shared" si="8"/>
        <v>San Joaquin County</v>
      </c>
      <c r="S44" s="9">
        <f t="shared" si="9"/>
        <v>17</v>
      </c>
      <c r="U44" t="str">
        <f t="shared" si="10"/>
        <v>California</v>
      </c>
      <c r="V44" t="str">
        <f t="shared" si="11"/>
        <v>San Joaquin County</v>
      </c>
      <c r="W44">
        <f t="shared" si="12"/>
        <v>5441.2</v>
      </c>
    </row>
    <row r="45" spans="1:23" x14ac:dyDescent="0.25">
      <c r="A45" s="2" t="s">
        <v>72</v>
      </c>
      <c r="B45" s="19">
        <v>26</v>
      </c>
      <c r="C45" s="19">
        <v>35</v>
      </c>
      <c r="D45" s="19">
        <v>4</v>
      </c>
      <c r="E45" s="19"/>
      <c r="F45" s="19">
        <v>65</v>
      </c>
      <c r="L45" t="s">
        <v>22</v>
      </c>
      <c r="M45" t="s">
        <v>73</v>
      </c>
      <c r="N45" s="4">
        <v>15</v>
      </c>
      <c r="O45" s="5">
        <v>2690.4</v>
      </c>
      <c r="Q45" s="9" t="str">
        <f t="shared" si="7"/>
        <v>California</v>
      </c>
      <c r="R45" s="9" t="str">
        <f t="shared" si="8"/>
        <v>Merced County</v>
      </c>
      <c r="S45" s="9">
        <f t="shared" si="9"/>
        <v>15</v>
      </c>
      <c r="U45" t="str">
        <f t="shared" si="10"/>
        <v>California</v>
      </c>
      <c r="V45" t="str">
        <f t="shared" si="11"/>
        <v>Merced County</v>
      </c>
      <c r="W45">
        <f t="shared" si="12"/>
        <v>2690.4</v>
      </c>
    </row>
    <row r="46" spans="1:23" x14ac:dyDescent="0.25">
      <c r="A46" s="2" t="s">
        <v>1</v>
      </c>
      <c r="B46" s="19">
        <v>6272</v>
      </c>
      <c r="C46" s="19">
        <v>4672</v>
      </c>
      <c r="D46" s="19">
        <v>317</v>
      </c>
      <c r="E46" s="19">
        <v>736</v>
      </c>
      <c r="F46" s="19">
        <v>11997</v>
      </c>
      <c r="L46" t="s">
        <v>22</v>
      </c>
      <c r="M46" t="s">
        <v>83</v>
      </c>
      <c r="N46" s="4">
        <v>14</v>
      </c>
      <c r="O46" s="5">
        <v>1558.4</v>
      </c>
      <c r="Q46" s="9" t="str">
        <f t="shared" si="7"/>
        <v>California</v>
      </c>
      <c r="R46" s="9" t="str">
        <f t="shared" si="8"/>
        <v>Kings County</v>
      </c>
      <c r="S46" s="9">
        <f t="shared" si="9"/>
        <v>14</v>
      </c>
      <c r="U46" t="str">
        <f t="shared" si="10"/>
        <v>California</v>
      </c>
      <c r="V46" t="str">
        <f t="shared" si="11"/>
        <v>Kings County</v>
      </c>
      <c r="W46">
        <f t="shared" si="12"/>
        <v>1558.4</v>
      </c>
    </row>
    <row r="47" spans="1:23" x14ac:dyDescent="0.25">
      <c r="L47" t="s">
        <v>22</v>
      </c>
      <c r="M47" t="s">
        <v>93</v>
      </c>
      <c r="N47" s="4">
        <v>12</v>
      </c>
      <c r="O47" s="5">
        <v>2188.2999999999997</v>
      </c>
      <c r="Q47" s="9" t="str">
        <f t="shared" si="7"/>
        <v>California</v>
      </c>
      <c r="R47" s="9" t="str">
        <f t="shared" si="8"/>
        <v>Humboldt County</v>
      </c>
      <c r="S47" s="9">
        <f t="shared" si="9"/>
        <v>12</v>
      </c>
      <c r="U47" t="str">
        <f t="shared" si="10"/>
        <v>California</v>
      </c>
      <c r="V47" t="str">
        <f t="shared" si="11"/>
        <v>Humboldt County</v>
      </c>
      <c r="W47">
        <f t="shared" si="12"/>
        <v>2188.2999999999997</v>
      </c>
    </row>
    <row r="48" spans="1:23" x14ac:dyDescent="0.25">
      <c r="L48" t="s">
        <v>22</v>
      </c>
      <c r="M48" t="s">
        <v>60</v>
      </c>
      <c r="N48" s="4">
        <v>12</v>
      </c>
      <c r="O48" s="5">
        <v>6444.9</v>
      </c>
      <c r="Q48" s="9" t="str">
        <f t="shared" si="7"/>
        <v>California</v>
      </c>
      <c r="R48" s="9" t="str">
        <f t="shared" si="8"/>
        <v>Napa County</v>
      </c>
      <c r="S48" s="9">
        <f t="shared" si="9"/>
        <v>12</v>
      </c>
      <c r="U48" t="str">
        <f t="shared" si="10"/>
        <v>California</v>
      </c>
      <c r="V48" t="str">
        <f t="shared" si="11"/>
        <v>Napa County</v>
      </c>
      <c r="W48">
        <f t="shared" si="12"/>
        <v>6444.9</v>
      </c>
    </row>
    <row r="49" spans="1:23" x14ac:dyDescent="0.25">
      <c r="L49" t="s">
        <v>22</v>
      </c>
      <c r="M49" t="s">
        <v>86</v>
      </c>
      <c r="N49" s="4">
        <v>10</v>
      </c>
      <c r="O49" s="5">
        <v>2687.3999999999996</v>
      </c>
      <c r="Q49" s="9" t="str">
        <f t="shared" si="7"/>
        <v>California</v>
      </c>
      <c r="R49" s="9" t="str">
        <f t="shared" si="8"/>
        <v>Madera County</v>
      </c>
      <c r="S49" s="9">
        <f t="shared" si="9"/>
        <v>10</v>
      </c>
      <c r="U49" t="str">
        <f t="shared" si="10"/>
        <v>California</v>
      </c>
      <c r="V49" t="str">
        <f t="shared" si="11"/>
        <v>Madera County</v>
      </c>
      <c r="W49">
        <f t="shared" si="12"/>
        <v>2687.3999999999996</v>
      </c>
    </row>
    <row r="50" spans="1:23" x14ac:dyDescent="0.25">
      <c r="A50" t="s">
        <v>114</v>
      </c>
      <c r="D50" t="s">
        <v>115</v>
      </c>
      <c r="L50" t="s">
        <v>22</v>
      </c>
      <c r="M50" t="s">
        <v>82</v>
      </c>
      <c r="N50" s="4">
        <v>10</v>
      </c>
      <c r="O50" s="5">
        <v>2661.5999999999995</v>
      </c>
      <c r="Q50" s="9" t="str">
        <f t="shared" si="7"/>
        <v>California</v>
      </c>
      <c r="R50" s="9" t="str">
        <f t="shared" si="8"/>
        <v>Imperial County</v>
      </c>
      <c r="S50" s="9">
        <f t="shared" si="9"/>
        <v>10</v>
      </c>
      <c r="U50" t="str">
        <f t="shared" si="10"/>
        <v>California</v>
      </c>
      <c r="V50" t="str">
        <f t="shared" si="11"/>
        <v>Imperial County</v>
      </c>
      <c r="W50">
        <f t="shared" si="12"/>
        <v>2661.5999999999995</v>
      </c>
    </row>
    <row r="51" spans="1:23" x14ac:dyDescent="0.25">
      <c r="A51" s="1" t="s">
        <v>0</v>
      </c>
      <c r="B51" t="s">
        <v>3</v>
      </c>
      <c r="D51" s="1" t="s">
        <v>3</v>
      </c>
      <c r="E51" s="1" t="s">
        <v>2</v>
      </c>
      <c r="L51" t="s">
        <v>22</v>
      </c>
      <c r="M51" t="s">
        <v>102</v>
      </c>
      <c r="N51" s="4">
        <v>8</v>
      </c>
      <c r="O51" s="5">
        <v>3391.1</v>
      </c>
      <c r="Q51" s="9" t="str">
        <f t="shared" si="7"/>
        <v>California</v>
      </c>
      <c r="R51" s="9" t="str">
        <f t="shared" si="8"/>
        <v>Shasta County</v>
      </c>
      <c r="S51" s="9">
        <f t="shared" si="9"/>
        <v>8</v>
      </c>
      <c r="U51" t="str">
        <f t="shared" si="10"/>
        <v>California</v>
      </c>
      <c r="V51" t="str">
        <f t="shared" si="11"/>
        <v>Shasta County</v>
      </c>
      <c r="W51">
        <f t="shared" si="12"/>
        <v>3391.1</v>
      </c>
    </row>
    <row r="52" spans="1:23" x14ac:dyDescent="0.25">
      <c r="A52" s="2">
        <v>0</v>
      </c>
      <c r="B52" s="4">
        <v>175</v>
      </c>
      <c r="D52" s="1" t="s">
        <v>0</v>
      </c>
      <c r="E52">
        <v>1</v>
      </c>
      <c r="F52">
        <v>2</v>
      </c>
      <c r="G52">
        <v>3</v>
      </c>
      <c r="H52">
        <v>4</v>
      </c>
      <c r="I52">
        <v>5</v>
      </c>
      <c r="J52" t="s">
        <v>1</v>
      </c>
      <c r="L52" t="s">
        <v>22</v>
      </c>
      <c r="M52" t="s">
        <v>92</v>
      </c>
      <c r="N52" s="4">
        <v>8</v>
      </c>
      <c r="O52" s="5">
        <v>1463.3000000000002</v>
      </c>
      <c r="Q52" s="9" t="str">
        <f t="shared" si="7"/>
        <v>California</v>
      </c>
      <c r="R52" s="9" t="str">
        <f t="shared" si="8"/>
        <v>Marin County</v>
      </c>
      <c r="S52" s="9">
        <f t="shared" si="9"/>
        <v>8</v>
      </c>
      <c r="U52" t="str">
        <f t="shared" si="10"/>
        <v>California</v>
      </c>
      <c r="V52" t="str">
        <f t="shared" si="11"/>
        <v>Marin County</v>
      </c>
      <c r="W52">
        <f t="shared" si="12"/>
        <v>1463.3000000000002</v>
      </c>
    </row>
    <row r="53" spans="1:23" x14ac:dyDescent="0.25">
      <c r="A53" s="2">
        <v>1</v>
      </c>
      <c r="B53" s="4">
        <v>888</v>
      </c>
      <c r="D53" s="2" t="s">
        <v>116</v>
      </c>
      <c r="E53" s="4">
        <v>7</v>
      </c>
      <c r="F53" s="4">
        <v>37</v>
      </c>
      <c r="G53" s="4">
        <v>150</v>
      </c>
      <c r="H53" s="4">
        <v>312</v>
      </c>
      <c r="I53" s="4">
        <v>224</v>
      </c>
      <c r="J53" s="4">
        <v>730</v>
      </c>
      <c r="L53" t="s">
        <v>22</v>
      </c>
      <c r="M53" t="s">
        <v>40</v>
      </c>
      <c r="N53" s="4">
        <v>8</v>
      </c>
      <c r="O53" s="5">
        <v>1809.3</v>
      </c>
      <c r="Q53" s="9" t="str">
        <f t="shared" si="7"/>
        <v>California</v>
      </c>
      <c r="R53" s="9" t="str">
        <f t="shared" si="8"/>
        <v>Nevada County</v>
      </c>
      <c r="S53" s="9">
        <f t="shared" si="9"/>
        <v>8</v>
      </c>
      <c r="U53" t="str">
        <f t="shared" si="10"/>
        <v>California</v>
      </c>
      <c r="V53" t="str">
        <f t="shared" si="11"/>
        <v>Nevada County</v>
      </c>
      <c r="W53">
        <f t="shared" si="12"/>
        <v>1809.3</v>
      </c>
    </row>
    <row r="54" spans="1:23" x14ac:dyDescent="0.25">
      <c r="A54" s="2">
        <v>2</v>
      </c>
      <c r="B54" s="4">
        <v>538</v>
      </c>
      <c r="D54" s="2" t="s">
        <v>117</v>
      </c>
      <c r="E54" s="4">
        <v>8</v>
      </c>
      <c r="F54" s="4">
        <v>51</v>
      </c>
      <c r="G54" s="4">
        <v>182</v>
      </c>
      <c r="H54" s="4">
        <v>373</v>
      </c>
      <c r="I54" s="4">
        <v>247</v>
      </c>
      <c r="J54" s="4">
        <v>861</v>
      </c>
      <c r="L54" t="s">
        <v>22</v>
      </c>
      <c r="M54" t="s">
        <v>80</v>
      </c>
      <c r="N54" s="4">
        <v>7</v>
      </c>
      <c r="O54" s="5">
        <v>958.7</v>
      </c>
      <c r="Q54" s="9" t="str">
        <f t="shared" si="7"/>
        <v>California</v>
      </c>
      <c r="R54" s="9" t="str">
        <f t="shared" si="8"/>
        <v>Sutter County</v>
      </c>
      <c r="S54" s="9">
        <f t="shared" si="9"/>
        <v>7</v>
      </c>
      <c r="U54" t="str">
        <f t="shared" si="10"/>
        <v>California</v>
      </c>
      <c r="V54" t="str">
        <f t="shared" si="11"/>
        <v>Sutter County</v>
      </c>
      <c r="W54">
        <f t="shared" si="12"/>
        <v>958.7</v>
      </c>
    </row>
    <row r="55" spans="1:23" x14ac:dyDescent="0.25">
      <c r="A55" s="2">
        <v>3</v>
      </c>
      <c r="B55" s="4">
        <v>344</v>
      </c>
      <c r="D55" s="2" t="s">
        <v>118</v>
      </c>
      <c r="E55" s="4">
        <v>6</v>
      </c>
      <c r="F55" s="4">
        <v>39</v>
      </c>
      <c r="G55" s="4">
        <v>163</v>
      </c>
      <c r="H55" s="4">
        <v>351</v>
      </c>
      <c r="I55" s="4">
        <v>250</v>
      </c>
      <c r="J55" s="4">
        <v>809</v>
      </c>
      <c r="L55" t="s">
        <v>22</v>
      </c>
      <c r="M55" t="s">
        <v>85</v>
      </c>
      <c r="N55" s="4">
        <v>6</v>
      </c>
      <c r="O55" s="5">
        <v>1129.7</v>
      </c>
      <c r="Q55" s="9" t="str">
        <f t="shared" si="7"/>
        <v>California</v>
      </c>
      <c r="R55" s="9" t="str">
        <f t="shared" si="8"/>
        <v>San Benito County</v>
      </c>
      <c r="S55" s="9">
        <f t="shared" si="9"/>
        <v>6</v>
      </c>
      <c r="U55" t="str">
        <f t="shared" si="10"/>
        <v>California</v>
      </c>
      <c r="V55" t="str">
        <f t="shared" si="11"/>
        <v>San Benito County</v>
      </c>
      <c r="W55">
        <f t="shared" si="12"/>
        <v>1129.7</v>
      </c>
    </row>
    <row r="56" spans="1:23" x14ac:dyDescent="0.25">
      <c r="A56" s="2">
        <v>4</v>
      </c>
      <c r="B56" s="4">
        <v>200</v>
      </c>
      <c r="D56" s="2" t="s">
        <v>1</v>
      </c>
      <c r="E56" s="4">
        <v>21</v>
      </c>
      <c r="F56" s="4">
        <v>127</v>
      </c>
      <c r="G56" s="4">
        <v>495</v>
      </c>
      <c r="H56" s="4">
        <v>1036</v>
      </c>
      <c r="I56" s="4">
        <v>721</v>
      </c>
      <c r="J56" s="4">
        <v>2400</v>
      </c>
      <c r="L56" t="s">
        <v>22</v>
      </c>
      <c r="M56" t="s">
        <v>91</v>
      </c>
      <c r="N56" s="4">
        <v>6</v>
      </c>
      <c r="O56" s="5">
        <v>2092.8000000000002</v>
      </c>
      <c r="Q56" s="9" t="str">
        <f t="shared" si="7"/>
        <v>California</v>
      </c>
      <c r="R56" s="9" t="str">
        <f t="shared" si="8"/>
        <v>El Dorado County</v>
      </c>
      <c r="S56" s="9">
        <f t="shared" si="9"/>
        <v>6</v>
      </c>
      <c r="U56" t="str">
        <f t="shared" si="10"/>
        <v>California</v>
      </c>
      <c r="V56" t="str">
        <f t="shared" si="11"/>
        <v>El Dorado County</v>
      </c>
      <c r="W56">
        <f t="shared" si="12"/>
        <v>2092.8000000000002</v>
      </c>
    </row>
    <row r="57" spans="1:23" x14ac:dyDescent="0.25">
      <c r="A57" s="2">
        <v>5</v>
      </c>
      <c r="B57" s="4">
        <v>94</v>
      </c>
      <c r="L57" t="s">
        <v>22</v>
      </c>
      <c r="M57" t="s">
        <v>99</v>
      </c>
      <c r="N57" s="4">
        <v>6</v>
      </c>
      <c r="O57" s="5">
        <v>2223.9</v>
      </c>
      <c r="Q57" s="9" t="str">
        <f t="shared" si="7"/>
        <v>California</v>
      </c>
      <c r="R57" s="9" t="str">
        <f t="shared" si="8"/>
        <v>Lake County</v>
      </c>
      <c r="S57" s="9">
        <f t="shared" si="9"/>
        <v>6</v>
      </c>
      <c r="U57" t="str">
        <f t="shared" si="10"/>
        <v>California</v>
      </c>
      <c r="V57" t="str">
        <f t="shared" si="11"/>
        <v>Lake County</v>
      </c>
      <c r="W57">
        <f t="shared" si="12"/>
        <v>2223.9</v>
      </c>
    </row>
    <row r="58" spans="1:23" x14ac:dyDescent="0.25">
      <c r="A58" s="2">
        <v>6</v>
      </c>
      <c r="B58" s="4">
        <v>51</v>
      </c>
      <c r="L58" t="s">
        <v>22</v>
      </c>
      <c r="M58" t="s">
        <v>81</v>
      </c>
      <c r="N58" s="4">
        <v>6</v>
      </c>
      <c r="O58" s="5">
        <v>2447.5</v>
      </c>
      <c r="Q58" s="9" t="str">
        <f t="shared" si="7"/>
        <v>California</v>
      </c>
      <c r="R58" s="9" t="str">
        <f t="shared" si="8"/>
        <v>Santa Cruz County</v>
      </c>
      <c r="S58" s="9">
        <f t="shared" si="9"/>
        <v>6</v>
      </c>
      <c r="U58" t="str">
        <f t="shared" si="10"/>
        <v>California</v>
      </c>
      <c r="V58" t="str">
        <f t="shared" si="11"/>
        <v>Santa Cruz County</v>
      </c>
      <c r="W58">
        <f t="shared" si="12"/>
        <v>2447.5</v>
      </c>
    </row>
    <row r="59" spans="1:23" x14ac:dyDescent="0.25">
      <c r="A59" s="2">
        <v>7</v>
      </c>
      <c r="B59" s="4">
        <v>32</v>
      </c>
      <c r="L59" t="s">
        <v>22</v>
      </c>
      <c r="M59" t="s">
        <v>98</v>
      </c>
      <c r="N59" s="4">
        <v>5</v>
      </c>
      <c r="O59" s="5">
        <v>1607.8999999999999</v>
      </c>
      <c r="Q59" s="9" t="str">
        <f t="shared" si="7"/>
        <v>California</v>
      </c>
      <c r="R59" s="9" t="str">
        <f t="shared" si="8"/>
        <v>Monterey County</v>
      </c>
      <c r="S59" s="9">
        <f t="shared" si="9"/>
        <v>5</v>
      </c>
      <c r="U59" t="str">
        <f t="shared" si="10"/>
        <v>California</v>
      </c>
      <c r="V59" t="str">
        <f t="shared" si="11"/>
        <v>Monterey County</v>
      </c>
      <c r="W59">
        <f t="shared" si="12"/>
        <v>1607.8999999999999</v>
      </c>
    </row>
    <row r="60" spans="1:23" x14ac:dyDescent="0.25">
      <c r="A60" s="2">
        <v>8</v>
      </c>
      <c r="B60" s="4">
        <v>23</v>
      </c>
      <c r="L60" t="s">
        <v>22</v>
      </c>
      <c r="M60" t="s">
        <v>87</v>
      </c>
      <c r="N60" s="4">
        <v>5</v>
      </c>
      <c r="O60" s="5">
        <v>3175.9999999999995</v>
      </c>
      <c r="Q60" s="9" t="str">
        <f t="shared" si="7"/>
        <v>California</v>
      </c>
      <c r="R60" s="9" t="str">
        <f t="shared" si="8"/>
        <v>Solano County</v>
      </c>
      <c r="S60" s="9">
        <f t="shared" si="9"/>
        <v>5</v>
      </c>
      <c r="U60" t="str">
        <f t="shared" si="10"/>
        <v>California</v>
      </c>
      <c r="V60" t="str">
        <f t="shared" si="11"/>
        <v>Solano County</v>
      </c>
      <c r="W60">
        <f t="shared" si="12"/>
        <v>3175.9999999999995</v>
      </c>
    </row>
    <row r="61" spans="1:23" x14ac:dyDescent="0.25">
      <c r="A61" s="2">
        <v>9</v>
      </c>
      <c r="B61" s="4">
        <v>9</v>
      </c>
      <c r="L61" t="s">
        <v>22</v>
      </c>
      <c r="M61" t="s">
        <v>100</v>
      </c>
      <c r="N61" s="4">
        <v>5</v>
      </c>
      <c r="O61" s="5">
        <v>1062.5999999999999</v>
      </c>
      <c r="Q61" s="9" t="str">
        <f t="shared" si="7"/>
        <v>California</v>
      </c>
      <c r="R61" s="9" t="str">
        <f t="shared" si="8"/>
        <v>Butte County</v>
      </c>
      <c r="S61" s="9">
        <f t="shared" si="9"/>
        <v>5</v>
      </c>
      <c r="U61" t="str">
        <f t="shared" si="10"/>
        <v>California</v>
      </c>
      <c r="V61" t="str">
        <f t="shared" si="11"/>
        <v>Butte County</v>
      </c>
      <c r="W61">
        <f t="shared" si="12"/>
        <v>1062.5999999999999</v>
      </c>
    </row>
    <row r="62" spans="1:23" x14ac:dyDescent="0.25">
      <c r="A62" s="2">
        <v>10</v>
      </c>
      <c r="B62" s="4">
        <v>8</v>
      </c>
      <c r="L62" t="s">
        <v>22</v>
      </c>
      <c r="M62" t="s">
        <v>101</v>
      </c>
      <c r="N62" s="4">
        <v>5</v>
      </c>
      <c r="O62" s="5">
        <v>1405</v>
      </c>
      <c r="Q62" s="9" t="str">
        <f t="shared" si="7"/>
        <v>California</v>
      </c>
      <c r="R62" s="9" t="str">
        <f t="shared" si="8"/>
        <v>Tuolumne County</v>
      </c>
      <c r="S62" s="9">
        <f t="shared" si="9"/>
        <v>5</v>
      </c>
      <c r="U62" t="str">
        <f t="shared" si="10"/>
        <v>California</v>
      </c>
      <c r="V62" t="str">
        <f t="shared" si="11"/>
        <v>Tuolumne County</v>
      </c>
      <c r="W62">
        <f t="shared" si="12"/>
        <v>1405</v>
      </c>
    </row>
    <row r="63" spans="1:23" x14ac:dyDescent="0.25">
      <c r="A63" s="2">
        <v>11</v>
      </c>
      <c r="B63" s="4">
        <v>11</v>
      </c>
      <c r="L63" t="s">
        <v>22</v>
      </c>
      <c r="M63" t="s">
        <v>77</v>
      </c>
      <c r="N63" s="4">
        <v>5</v>
      </c>
      <c r="O63" s="5">
        <v>615.29999999999995</v>
      </c>
      <c r="Q63" s="9" t="str">
        <f t="shared" si="7"/>
        <v>California</v>
      </c>
      <c r="R63" s="9" t="str">
        <f t="shared" si="8"/>
        <v>Yolo County</v>
      </c>
      <c r="S63" s="9">
        <f t="shared" si="9"/>
        <v>5</v>
      </c>
      <c r="U63" t="str">
        <f t="shared" si="10"/>
        <v>California</v>
      </c>
      <c r="V63" t="str">
        <f t="shared" si="11"/>
        <v>Yolo County</v>
      </c>
      <c r="W63">
        <f t="shared" si="12"/>
        <v>615.29999999999995</v>
      </c>
    </row>
    <row r="64" spans="1:23" x14ac:dyDescent="0.25">
      <c r="A64" s="2">
        <v>12</v>
      </c>
      <c r="B64" s="4">
        <v>4</v>
      </c>
      <c r="L64" t="s">
        <v>22</v>
      </c>
      <c r="M64" t="s">
        <v>95</v>
      </c>
      <c r="N64" s="4">
        <v>4</v>
      </c>
      <c r="O64" s="5">
        <v>800.3</v>
      </c>
      <c r="Q64" s="9" t="str">
        <f t="shared" si="7"/>
        <v>California</v>
      </c>
      <c r="R64" s="9" t="str">
        <f t="shared" si="8"/>
        <v>Amador County</v>
      </c>
      <c r="S64" s="9">
        <f t="shared" si="9"/>
        <v>4</v>
      </c>
      <c r="U64" t="str">
        <f t="shared" si="10"/>
        <v>California</v>
      </c>
      <c r="V64" t="str">
        <f t="shared" si="11"/>
        <v>Amador County</v>
      </c>
      <c r="W64">
        <f t="shared" si="12"/>
        <v>800.3</v>
      </c>
    </row>
    <row r="65" spans="1:23" x14ac:dyDescent="0.25">
      <c r="A65" s="2">
        <v>13</v>
      </c>
      <c r="B65" s="4">
        <v>10</v>
      </c>
      <c r="L65" t="s">
        <v>22</v>
      </c>
      <c r="M65" t="s">
        <v>79</v>
      </c>
      <c r="N65" s="4">
        <v>4</v>
      </c>
      <c r="O65" s="5">
        <v>332.3</v>
      </c>
      <c r="Q65" s="9" t="str">
        <f t="shared" si="7"/>
        <v>California</v>
      </c>
      <c r="R65" s="9" t="str">
        <f t="shared" si="8"/>
        <v>Siskiyou County</v>
      </c>
      <c r="S65" s="9">
        <f t="shared" si="9"/>
        <v>4</v>
      </c>
      <c r="U65" t="str">
        <f t="shared" si="10"/>
        <v>California</v>
      </c>
      <c r="V65" t="str">
        <f t="shared" si="11"/>
        <v>Siskiyou County</v>
      </c>
      <c r="W65">
        <f t="shared" si="12"/>
        <v>332.3</v>
      </c>
    </row>
    <row r="66" spans="1:23" x14ac:dyDescent="0.25">
      <c r="A66" s="2">
        <v>14</v>
      </c>
      <c r="B66" s="4">
        <v>13</v>
      </c>
      <c r="L66" t="s">
        <v>22</v>
      </c>
      <c r="M66" t="s">
        <v>76</v>
      </c>
      <c r="N66" s="4">
        <v>3</v>
      </c>
      <c r="O66" s="5">
        <v>343.2</v>
      </c>
      <c r="Q66" s="9" t="str">
        <f t="shared" si="7"/>
        <v>California</v>
      </c>
      <c r="R66" s="9" t="str">
        <f t="shared" si="8"/>
        <v>Glenn County</v>
      </c>
      <c r="S66" s="9">
        <f t="shared" si="9"/>
        <v>3</v>
      </c>
      <c r="U66" t="str">
        <f t="shared" si="10"/>
        <v>California</v>
      </c>
      <c r="V66" t="str">
        <f t="shared" si="11"/>
        <v>Glenn County</v>
      </c>
      <c r="W66">
        <f t="shared" si="12"/>
        <v>343.2</v>
      </c>
    </row>
    <row r="67" spans="1:23" x14ac:dyDescent="0.25">
      <c r="A67" s="2" t="s">
        <v>1</v>
      </c>
      <c r="B67" s="4">
        <v>2400</v>
      </c>
      <c r="L67" t="s">
        <v>22</v>
      </c>
      <c r="M67" t="s">
        <v>90</v>
      </c>
      <c r="N67" s="4">
        <v>3</v>
      </c>
      <c r="O67" s="5">
        <v>392.8</v>
      </c>
      <c r="Q67" s="9" t="str">
        <f t="shared" si="7"/>
        <v>California</v>
      </c>
      <c r="R67" s="9" t="str">
        <f t="shared" si="8"/>
        <v>San Luis Obispo County</v>
      </c>
      <c r="S67" s="9">
        <f t="shared" si="9"/>
        <v>3</v>
      </c>
      <c r="U67" t="str">
        <f t="shared" si="10"/>
        <v>California</v>
      </c>
      <c r="V67" t="str">
        <f t="shared" si="11"/>
        <v>San Luis Obispo County</v>
      </c>
      <c r="W67">
        <f t="shared" si="12"/>
        <v>392.8</v>
      </c>
    </row>
    <row r="68" spans="1:23" x14ac:dyDescent="0.25">
      <c r="L68" t="s">
        <v>22</v>
      </c>
      <c r="M68" t="s">
        <v>78</v>
      </c>
      <c r="N68" s="4">
        <v>3</v>
      </c>
      <c r="O68" s="5">
        <v>273.59999999999997</v>
      </c>
      <c r="Q68" s="9" t="str">
        <f t="shared" si="7"/>
        <v>California</v>
      </c>
      <c r="R68" s="9" t="str">
        <f t="shared" si="8"/>
        <v>Mendocino County</v>
      </c>
      <c r="S68" s="9">
        <f t="shared" si="9"/>
        <v>3</v>
      </c>
      <c r="U68" t="str">
        <f t="shared" si="10"/>
        <v>California</v>
      </c>
      <c r="V68" t="str">
        <f t="shared" si="11"/>
        <v>Mendocino County</v>
      </c>
      <c r="W68">
        <f t="shared" si="12"/>
        <v>273.59999999999997</v>
      </c>
    </row>
    <row r="69" spans="1:23" x14ac:dyDescent="0.25">
      <c r="L69" t="s">
        <v>22</v>
      </c>
      <c r="M69" t="s">
        <v>58</v>
      </c>
      <c r="N69" s="4">
        <v>2</v>
      </c>
      <c r="O69" s="5">
        <v>887.5</v>
      </c>
      <c r="Q69" s="9" t="str">
        <f t="shared" si="7"/>
        <v>California</v>
      </c>
      <c r="R69" s="9" t="str">
        <f t="shared" si="8"/>
        <v>Inyo County</v>
      </c>
      <c r="S69" s="9">
        <f t="shared" si="9"/>
        <v>2</v>
      </c>
      <c r="U69" t="str">
        <f t="shared" si="10"/>
        <v>California</v>
      </c>
      <c r="V69" t="str">
        <f t="shared" si="11"/>
        <v>Inyo County</v>
      </c>
      <c r="W69">
        <f t="shared" si="12"/>
        <v>887.5</v>
      </c>
    </row>
    <row r="70" spans="1:23" x14ac:dyDescent="0.25">
      <c r="L70" t="s">
        <v>22</v>
      </c>
      <c r="M70" t="s">
        <v>94</v>
      </c>
      <c r="N70" s="4">
        <v>2</v>
      </c>
      <c r="O70" s="5">
        <v>167.70000000000002</v>
      </c>
      <c r="Q70" s="9" t="str">
        <f t="shared" si="7"/>
        <v>California</v>
      </c>
      <c r="R70" s="9" t="str">
        <f t="shared" si="8"/>
        <v>Trinity County</v>
      </c>
      <c r="S70" s="9">
        <f t="shared" si="9"/>
        <v>2</v>
      </c>
      <c r="U70" t="str">
        <f t="shared" si="10"/>
        <v>California</v>
      </c>
      <c r="V70" t="str">
        <f t="shared" si="11"/>
        <v>Trinity County</v>
      </c>
      <c r="W70">
        <f t="shared" si="12"/>
        <v>167.70000000000002</v>
      </c>
    </row>
    <row r="71" spans="1:23" x14ac:dyDescent="0.25">
      <c r="L71" t="s">
        <v>22</v>
      </c>
      <c r="M71" t="s">
        <v>89</v>
      </c>
      <c r="N71" s="4">
        <v>2</v>
      </c>
      <c r="O71" s="5">
        <v>445.79999999999995</v>
      </c>
      <c r="Q71" s="9" t="str">
        <f t="shared" si="7"/>
        <v>California</v>
      </c>
      <c r="R71" s="9" t="str">
        <f t="shared" si="8"/>
        <v>Mariposa County</v>
      </c>
      <c r="S71" s="9">
        <f t="shared" si="9"/>
        <v>2</v>
      </c>
      <c r="U71" t="str">
        <f t="shared" si="10"/>
        <v>California</v>
      </c>
      <c r="V71" t="str">
        <f t="shared" si="11"/>
        <v>Mariposa County</v>
      </c>
      <c r="W71">
        <f t="shared" si="12"/>
        <v>445.79999999999995</v>
      </c>
    </row>
    <row r="72" spans="1:23" x14ac:dyDescent="0.25">
      <c r="L72" t="s">
        <v>22</v>
      </c>
      <c r="M72" t="s">
        <v>57</v>
      </c>
      <c r="N72" s="4">
        <v>2</v>
      </c>
      <c r="O72" s="5">
        <v>326.20000000000005</v>
      </c>
      <c r="Q72" s="9" t="str">
        <f t="shared" si="7"/>
        <v>California</v>
      </c>
      <c r="R72" s="9" t="str">
        <f t="shared" si="8"/>
        <v>Calaveras County</v>
      </c>
      <c r="S72" s="9">
        <f t="shared" si="9"/>
        <v>2</v>
      </c>
      <c r="U72" t="str">
        <f t="shared" si="10"/>
        <v>California</v>
      </c>
      <c r="V72" t="str">
        <f t="shared" si="11"/>
        <v>Calaveras County</v>
      </c>
      <c r="W72">
        <f t="shared" si="12"/>
        <v>326.20000000000005</v>
      </c>
    </row>
    <row r="73" spans="1:23" x14ac:dyDescent="0.25">
      <c r="L73" t="s">
        <v>22</v>
      </c>
      <c r="M73" t="s">
        <v>103</v>
      </c>
      <c r="N73" s="4">
        <v>2</v>
      </c>
      <c r="O73" s="5">
        <v>167.5</v>
      </c>
      <c r="Q73" s="9" t="str">
        <f t="shared" si="7"/>
        <v>California</v>
      </c>
      <c r="R73" s="9" t="str">
        <f t="shared" si="8"/>
        <v>Colusa County</v>
      </c>
      <c r="S73" s="9">
        <f t="shared" si="9"/>
        <v>2</v>
      </c>
      <c r="U73" t="str">
        <f t="shared" si="10"/>
        <v>California</v>
      </c>
      <c r="V73" t="str">
        <f t="shared" si="11"/>
        <v>Colusa County</v>
      </c>
      <c r="W73">
        <f t="shared" si="12"/>
        <v>167.5</v>
      </c>
    </row>
    <row r="74" spans="1:23" x14ac:dyDescent="0.25">
      <c r="L74" t="s">
        <v>22</v>
      </c>
      <c r="M74" t="s">
        <v>54</v>
      </c>
      <c r="N74" s="4">
        <v>2</v>
      </c>
      <c r="O74" s="5">
        <v>323</v>
      </c>
      <c r="Q74" s="9" t="str">
        <f t="shared" si="7"/>
        <v>California</v>
      </c>
      <c r="R74" s="9" t="str">
        <f t="shared" si="8"/>
        <v>Tehama County</v>
      </c>
      <c r="S74" s="9">
        <f t="shared" si="9"/>
        <v>2</v>
      </c>
      <c r="U74" t="str">
        <f t="shared" si="10"/>
        <v>California</v>
      </c>
      <c r="V74" t="str">
        <f t="shared" si="11"/>
        <v>Tehama County</v>
      </c>
      <c r="W74">
        <f t="shared" si="12"/>
        <v>323</v>
      </c>
    </row>
    <row r="75" spans="1:23" x14ac:dyDescent="0.25">
      <c r="L75" t="s">
        <v>22</v>
      </c>
      <c r="M75" t="s">
        <v>84</v>
      </c>
      <c r="N75" s="4">
        <v>2</v>
      </c>
      <c r="O75" s="5">
        <v>206.1</v>
      </c>
      <c r="Q75" s="9" t="str">
        <f t="shared" si="7"/>
        <v>California</v>
      </c>
      <c r="R75" s="9" t="str">
        <f t="shared" si="8"/>
        <v>Plumas County</v>
      </c>
      <c r="S75" s="9">
        <f t="shared" si="9"/>
        <v>2</v>
      </c>
      <c r="U75" t="str">
        <f t="shared" si="10"/>
        <v>California</v>
      </c>
      <c r="V75" t="str">
        <f t="shared" si="11"/>
        <v>Plumas County</v>
      </c>
      <c r="W75">
        <f t="shared" si="12"/>
        <v>206.1</v>
      </c>
    </row>
    <row r="76" spans="1:23" x14ac:dyDescent="0.25">
      <c r="L76" t="s">
        <v>22</v>
      </c>
      <c r="M76" t="s">
        <v>96</v>
      </c>
      <c r="N76" s="4">
        <v>1</v>
      </c>
      <c r="O76" s="5">
        <v>204.8</v>
      </c>
      <c r="Q76" s="9" t="str">
        <f t="shared" si="7"/>
        <v>California</v>
      </c>
      <c r="R76" s="9" t="str">
        <f t="shared" si="8"/>
        <v>Mono County</v>
      </c>
      <c r="S76" s="9">
        <f t="shared" si="9"/>
        <v>1</v>
      </c>
      <c r="U76" t="str">
        <f t="shared" si="10"/>
        <v>California</v>
      </c>
      <c r="V76" t="str">
        <f t="shared" si="11"/>
        <v>Mono County</v>
      </c>
      <c r="W76">
        <f t="shared" si="12"/>
        <v>204.8</v>
      </c>
    </row>
    <row r="77" spans="1:23" x14ac:dyDescent="0.25">
      <c r="L77" t="s">
        <v>22</v>
      </c>
      <c r="M77" t="s">
        <v>88</v>
      </c>
      <c r="N77" s="4">
        <v>1</v>
      </c>
      <c r="O77" s="5">
        <v>28.4</v>
      </c>
      <c r="Q77" s="9" t="str">
        <f t="shared" si="7"/>
        <v>California</v>
      </c>
      <c r="R77" s="9" t="str">
        <f t="shared" si="8"/>
        <v>Modoc County</v>
      </c>
      <c r="S77" s="9">
        <f t="shared" si="9"/>
        <v>1</v>
      </c>
      <c r="U77" t="str">
        <f t="shared" si="10"/>
        <v>California</v>
      </c>
      <c r="V77" t="str">
        <f t="shared" si="11"/>
        <v>Modoc County</v>
      </c>
      <c r="W77">
        <f t="shared" si="12"/>
        <v>28.4</v>
      </c>
    </row>
    <row r="78" spans="1:23" x14ac:dyDescent="0.25">
      <c r="L78" t="s">
        <v>22</v>
      </c>
      <c r="M78" t="s">
        <v>23</v>
      </c>
      <c r="N78" s="4">
        <v>1</v>
      </c>
      <c r="O78" s="5">
        <v>10.9</v>
      </c>
      <c r="Q78" s="9" t="str">
        <f t="shared" si="7"/>
        <v>California</v>
      </c>
      <c r="R78" s="9" t="str">
        <f t="shared" si="8"/>
        <v>Alpine County</v>
      </c>
      <c r="S78" s="9">
        <f t="shared" si="9"/>
        <v>1</v>
      </c>
      <c r="U78" t="str">
        <f t="shared" si="10"/>
        <v>California</v>
      </c>
      <c r="V78" t="str">
        <f t="shared" si="11"/>
        <v>Alpine County</v>
      </c>
      <c r="W78">
        <f t="shared" si="12"/>
        <v>10.9</v>
      </c>
    </row>
    <row r="79" spans="1:23" x14ac:dyDescent="0.25">
      <c r="L79" t="s">
        <v>22</v>
      </c>
      <c r="M79" t="s">
        <v>104</v>
      </c>
      <c r="N79" s="4">
        <v>1</v>
      </c>
      <c r="O79" s="5">
        <v>26.2</v>
      </c>
      <c r="Q79" s="9" t="str">
        <f t="shared" si="7"/>
        <v>California</v>
      </c>
      <c r="R79" s="9" t="str">
        <f t="shared" si="8"/>
        <v>Lassen County</v>
      </c>
      <c r="S79" s="9">
        <f t="shared" si="9"/>
        <v>1</v>
      </c>
      <c r="U79" t="str">
        <f t="shared" si="10"/>
        <v>California</v>
      </c>
      <c r="V79" t="str">
        <f t="shared" si="11"/>
        <v>Lassen County</v>
      </c>
      <c r="W79">
        <f t="shared" si="12"/>
        <v>26.2</v>
      </c>
    </row>
    <row r="80" spans="1:23" x14ac:dyDescent="0.25">
      <c r="L80" t="s">
        <v>22</v>
      </c>
      <c r="M80" t="s">
        <v>105</v>
      </c>
      <c r="N80" s="4">
        <v>1</v>
      </c>
      <c r="O80" s="5">
        <v>285</v>
      </c>
      <c r="Q80" s="9" t="str">
        <f t="shared" si="7"/>
        <v>California</v>
      </c>
      <c r="R80" s="9" t="str">
        <f t="shared" si="8"/>
        <v>Yuba County</v>
      </c>
      <c r="S80" s="9">
        <f t="shared" si="9"/>
        <v>1</v>
      </c>
      <c r="U80" t="str">
        <f t="shared" si="10"/>
        <v>California</v>
      </c>
      <c r="V80" t="str">
        <f t="shared" si="11"/>
        <v>Yuba County</v>
      </c>
      <c r="W80">
        <f t="shared" si="12"/>
        <v>285</v>
      </c>
    </row>
    <row r="81" spans="12:23" x14ac:dyDescent="0.25">
      <c r="L81" t="s">
        <v>22</v>
      </c>
      <c r="M81" t="s">
        <v>106</v>
      </c>
      <c r="N81" s="4">
        <v>1</v>
      </c>
      <c r="O81" s="5">
        <v>322.40000000000003</v>
      </c>
      <c r="Q81" s="9" t="str">
        <f t="shared" si="7"/>
        <v>California</v>
      </c>
      <c r="R81" s="9" t="str">
        <f t="shared" si="8"/>
        <v>Del Norte County</v>
      </c>
      <c r="S81" s="9">
        <f t="shared" si="9"/>
        <v>1</v>
      </c>
      <c r="U81" t="str">
        <f t="shared" si="10"/>
        <v>California</v>
      </c>
      <c r="V81" t="str">
        <f t="shared" si="11"/>
        <v>Del Norte County</v>
      </c>
      <c r="W81">
        <f t="shared" si="12"/>
        <v>322.40000000000003</v>
      </c>
    </row>
    <row r="82" spans="12:23" x14ac:dyDescent="0.25">
      <c r="L82" t="s">
        <v>22</v>
      </c>
      <c r="M82" t="s">
        <v>97</v>
      </c>
      <c r="N82" s="4">
        <v>1</v>
      </c>
      <c r="O82" s="5">
        <v>30.8</v>
      </c>
      <c r="Q82" s="9" t="str">
        <f t="shared" si="7"/>
        <v>California</v>
      </c>
      <c r="R82" s="9" t="str">
        <f t="shared" si="8"/>
        <v>Sierra County</v>
      </c>
      <c r="S82" s="9">
        <f t="shared" si="9"/>
        <v>1</v>
      </c>
      <c r="U82" t="str">
        <f t="shared" si="10"/>
        <v>California</v>
      </c>
      <c r="V82" t="str">
        <f t="shared" si="11"/>
        <v>Sierra County</v>
      </c>
      <c r="W82">
        <f t="shared" si="12"/>
        <v>30.8</v>
      </c>
    </row>
  </sheetData>
  <conditionalFormatting sqref="F17:I21">
    <cfRule type="colorScale" priority="1">
      <colorScale>
        <cfvo type="min"/>
        <cfvo type="percentile" val="50"/>
        <cfvo type="max"/>
        <color rgb="FFF8696B"/>
        <color rgb="FFFCFCFF"/>
        <color rgb="FF5A8AC6"/>
      </colorScale>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2F50B-E528-47BF-A2CC-E786AF635E18}">
  <dimension ref="A1"/>
  <sheetViews>
    <sheetView showGridLines="0" showRowColHeaders="0" tabSelected="1" workbookViewId="0">
      <selection activeCell="G44" sqref="G44"/>
      <extLst>
        <ext xmlns:xlsdti="http://schemas.microsoft.com/office/spreadsheetml/2023/showDataTypeIcons" uri="{77bfe23e-c014-4d31-8a63-9c772dbf06b6}">
          <xlsdti:showDataTypeIcons visible="0"/>
        </ext>
      </extLst>
    </sheetView>
  </sheetViews>
  <sheetFormatPr defaultRowHeight="15" x14ac:dyDescent="0.25"/>
  <cols>
    <col min="1" max="1" width="3.7109375" customWidth="1"/>
    <col min="2" max="2" width="17.85546875" customWidth="1"/>
    <col min="3" max="3" width="3" customWidth="1"/>
  </cols>
  <sheetData/>
  <sheetProtection sheet="1" objects="1" scenarios="1" selectLockedCells="1"/>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6A2A9B5-9566-416F-859D-4025C889BA3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Kripa M</dc:creator>
  <cp:lastModifiedBy>Kripa M</cp:lastModifiedBy>
  <dcterms:created xsi:type="dcterms:W3CDTF">2026-10-23T01:07:07Z</dcterms:created>
  <dcterms:modified xsi:type="dcterms:W3CDTF">2026-10-25T00:39:23Z</dcterms:modified>
</cp:coreProperties>
</file>